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Hướng dẫn" sheetId="1" state="visible" r:id="rId3"/>
    <sheet name="Tổng hợp" sheetId="2" state="visible" r:id="rId4"/>
    <sheet name="Checklist" sheetId="3" state="visible" r:id="rId5"/>
  </sheets>
  <definedNames>
    <definedName function="false" hidden="false" localSheetId="2" name="_xlnm.Print_Titles" vbProcedure="false">Checklist!$1:$1</definedName>
    <definedName function="false" hidden="true" localSheetId="2" name="_xlnm._FilterDatabase" vbProcedure="false">Checklist!$A$1:$J$143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<sst xmlns="http://schemas.openxmlformats.org/spreadsheetml/2006/main" count="1280" uniqueCount="721">
  <si>
    <t xml:space="preserve">StayGuard: checklist diễn tập (Gate 1)</t>
  </si>
  <si>
    <t xml:space="preserve">Cập nhật 03/10/2026 khoảng 11:40 theo kết quả diễn tập và báo cáo của các phiên (142 case; thêm TT-19 đến TT-29, CA-10, CA-11, LO-10, DP-09, DN-13, DN-14, TD-06 đến TD-08). Chưa có chỉnh sửa tay của Khai. Bổ sung sau 11:40 cùng ngày: kết quả các phiên API-1, API-2, WEB-1, WEB-2 và QA tự động, hai ảnh Nhật ký và Giao dịch của Khai. Chỉ TT-25 đánh Đạt (ảnh của Khai); các dòng Lỗi từ QA tự động ghi rõ 'chưa thử tay'.</t>
  </si>
  <si>
    <t xml:space="preserve">Cách dùng</t>
  </si>
  <si>
    <t xml:space="preserve">Ô cần điền</t>
  </si>
  <si>
    <t xml:space="preserve">Chỉ điền ba cột nền vàng nhạt ở sheet Checklist: Trạng thái (chọn từ danh sách), Ngày thử (dd/mm/yyyy) và Ghi chú, bằng chứng. Các cột khác chỉ đọc.</t>
  </si>
  <si>
    <t xml:space="preserve">Trạng thái</t>
  </si>
  <si>
    <t xml:space="preserve">Chưa làm, Đạt, Lỗi, Chờ thử lại (đã sửa trong code, cần thử lại sau khi rebuild), Bỏ qua (ghi lý do ở Ghi chú). Chỉ đánh Đạt khi chính bạn đã thấy kết quả.</t>
  </si>
  <si>
    <t xml:space="preserve">Thêm test case mới</t>
  </si>
  <si>
    <t xml:space="preserve">Thêm dòng ngay dưới cuối bảng Checklist (tới dòng 300) và giữ tiền tố mã đúng nhóm, ví dụ TT-19. Sheet Tổng hợp tự tính lại.</t>
  </si>
  <si>
    <t xml:space="preserve">Lọc theo vai trò hoặc ưu tiên</t>
  </si>
  <si>
    <t xml:space="preserve">Dùng nút lọc ở hàng tiêu đề. Thứ tự đề nghị: nhóm Chuẩn bị, Thanh toán, Ca và tiền mặt, rồi các nhóm còn lại.</t>
  </si>
  <si>
    <t xml:space="preserve">Ví dụ điền một dòng</t>
  </si>
  <si>
    <t xml:space="preserve">Đạt</t>
  </si>
  <si>
    <t xml:space="preserve">Ngày thử</t>
  </si>
  <si>
    <t xml:space="preserve">03/10/2026</t>
  </si>
  <si>
    <t xml:space="preserve">Ghi chú, bằng chứng</t>
  </si>
  <si>
    <t xml:space="preserve">PH1003A1012, 80.000đ, tiền về 01:17:59. Webhook 993 ms.</t>
  </si>
  <si>
    <t xml:space="preserve">Quy tắc an toàn khi thử</t>
  </si>
  <si>
    <t xml:space="preserve">Không chuyển tiền thật</t>
  </si>
  <si>
    <t xml:space="preserve">Test mode dùng tài khoản giả. Quét QR bằng app ngân hàng chỉ để xem rồi thoát.</t>
  </si>
  <si>
    <t xml:space="preserve">Che thông tin nhạy cảm khi gửi</t>
  </si>
  <si>
    <t xml:space="preserve">PIN một lần, khóa whsec_, mã hook trong đường dẫn webhook: che bằng ****** trước khi gửi cho ai.</t>
  </si>
  <si>
    <t xml:space="preserve">Khóa và PIN chỉ nhập khi lệnh hỏi ẩn</t>
  </si>
  <si>
    <t xml:space="preserve">Không đưa khóa hay PIN vào dòng lệnh.</t>
  </si>
  <si>
    <t xml:space="preserve">Dựng lại stack</t>
  </si>
  <si>
    <t xml:space="preserve">Sau make rehearse-down rồi make rehearse: mã hook, khóa và PIN đều đổi. Sửa lại URL webhook trong SePay và chạy lại set-secret.</t>
  </si>
  <si>
    <t xml:space="preserve">Địa chỉ tunnel đổi mỗi lần</t>
  </si>
  <si>
    <t xml:space="preserve">Mỗi lần chạy lại cloudflared, cập nhật URL webhook trong SePay.</t>
  </si>
  <si>
    <t xml:space="preserve">Hai vai trò cùng lúc</t>
  </si>
  <si>
    <t xml:space="preserve">Phiên đăng nhập dùng cookie: dùng hai profile Chrome, hoặc một cửa sổ thường cộng một cửa sổ ẩn danh, cho mỗi vai trò.</t>
  </si>
  <si>
    <t xml:space="preserve">Dữ liệu thử đang dùng</t>
  </si>
  <si>
    <t xml:space="preserve">App (máy bạn)</t>
  </si>
  <si>
    <t xml:space="preserve">http://localhost:18090/vi/</t>
  </si>
  <si>
    <t xml:space="preserve">Mã nhà nghỉ, tài khoản</t>
  </si>
  <si>
    <t xml:space="preserve">Mã nhà nghỉ: rehearse. Chủ: owner. Lễ tân: linh. Quản lý và Buồng phòng: tự tạo ở CB-11.</t>
  </si>
  <si>
    <t xml:space="preserve">Tài khoản ngân hàng test SePay</t>
  </si>
  <si>
    <t xml:space="preserve">0000000001 (Vietcombank hộ kinh doanh, bắt buộc VA). Tạo VA chính thức SBSEPAY… ở Test mode rồi chọn khi mô phỏng.</t>
  </si>
  <si>
    <t xml:space="preserve">Mã phiếu</t>
  </si>
  <si>
    <t xml:space="preserve">Hiện trên màn QR của lễ tân, ví dụ PH1003A1012. Dùng nguyên văn làm nội dung khi mô phỏng giao dịch.</t>
  </si>
  <si>
    <t xml:space="preserve">Các con số dùng trong test (theo docs/15 và báo cáo của các phiên)</t>
  </si>
  <si>
    <t xml:space="preserve">QR hết hạn</t>
  </si>
  <si>
    <t xml:space="preserve">30 phút</t>
  </si>
  <si>
    <t xml:space="preserve">Cảnh báo chuyển thiếu</t>
  </si>
  <si>
    <t xml:space="preserve">15 phút sau lần chuyển thiếu đầu tiên, tính theo đồng hồ server. Job chạy mỗi 5 phút.</t>
  </si>
  <si>
    <t xml:space="preserve">Khóa đăng nhập</t>
  </si>
  <si>
    <t xml:space="preserve">Sai 5 lần thì khóa 15 phút</t>
  </si>
  <si>
    <t xml:space="preserve">Sửa giờ vào</t>
  </si>
  <si>
    <t xml:space="preserve">Muộn hơn giờ đã ghi tối đa 60 phút, không ở tương lai</t>
  </si>
  <si>
    <t xml:space="preserve">Lịch sử lễ tân xem được</t>
  </si>
  <si>
    <t xml:space="preserve">7 ngày gần nhất (chủ đổi được ở Cài đặt)</t>
  </si>
  <si>
    <t xml:space="preserve">Cửa sổ chữ ký webhook</t>
  </si>
  <si>
    <t xml:space="preserve">300 giây theo mặc định (SEPAY_TIMESTAMP_TOLERANCE). SePay thử lại tối đa 7 lần trong khoảng 33 phút.</t>
  </si>
  <si>
    <t xml:space="preserve">Hạn mức mô phỏng SePay</t>
  </si>
  <si>
    <t xml:space="preserve">500 lượt mỗi ngày</t>
  </si>
  <si>
    <t xml:space="preserve">Tổng hợp tiến độ diễn tập</t>
  </si>
  <si>
    <t xml:space="preserve">Số liệu tự tính từ sheet Checklist. Không nhập tay ở sheet này.</t>
  </si>
  <si>
    <t xml:space="preserve">Nhóm</t>
  </si>
  <si>
    <t xml:space="preserve">Tổng</t>
  </si>
  <si>
    <t xml:space="preserve">Lỗi</t>
  </si>
  <si>
    <t xml:space="preserve">Chờ thử lại</t>
  </si>
  <si>
    <t xml:space="preserve">Bỏ qua</t>
  </si>
  <si>
    <t xml:space="preserve">Chưa làm</t>
  </si>
  <si>
    <t xml:space="preserve">Hoàn thành</t>
  </si>
  <si>
    <t xml:space="preserve">Chuẩn bị</t>
  </si>
  <si>
    <t xml:space="preserve">Thanh toán</t>
  </si>
  <si>
    <t xml:space="preserve">Ca và tiền mặt</t>
  </si>
  <si>
    <t xml:space="preserve">Lượt ở</t>
  </si>
  <si>
    <t xml:space="preserve">Dọn phòng, bảo trì</t>
  </si>
  <si>
    <t xml:space="preserve">Giấy tờ khách</t>
  </si>
  <si>
    <t xml:space="preserve">Đăng nhập, quyền</t>
  </si>
  <si>
    <t xml:space="preserve">Chủ: theo dõi</t>
  </si>
  <si>
    <t xml:space="preserve">Chủ: cài đặt, tài chính, nhân sự</t>
  </si>
  <si>
    <t xml:space="preserve">Bảo mật webhook</t>
  </si>
  <si>
    <t xml:space="preserve">Vận hành, sao lưu</t>
  </si>
  <si>
    <t xml:space="preserve">Giao diện, thiết bị</t>
  </si>
  <si>
    <t xml:space="preserve">Go-live</t>
  </si>
  <si>
    <t xml:space="preserve">Tổng cộng</t>
  </si>
  <si>
    <t xml:space="preserve">Điều kiện go-live</t>
  </si>
  <si>
    <t xml:space="preserve">Mục ưu tiên Cao chưa Đạt (không tính Bỏ qua)</t>
  </si>
  <si>
    <t xml:space="preserve">Số mục đang Lỗi</t>
  </si>
  <si>
    <t xml:space="preserve">Kết luận</t>
  </si>
  <si>
    <t xml:space="preserve">Quy tắc go-live: mọi mục ưu tiên Cao phải Đạt (hoặc Bỏ qua kèm lý do ở cột Ghi chú) và không có mục nào Lỗi. Chờ thử lại tính là chưa Đạt. Đây là tiêu chí tự đặt cho dự án, không phải quy định bên ngoài.</t>
  </si>
  <si>
    <t xml:space="preserve">Mã</t>
  </si>
  <si>
    <t xml:space="preserve">Vai trò</t>
  </si>
  <si>
    <t xml:space="preserve">Test case</t>
  </si>
  <si>
    <t xml:space="preserve">Các bước</t>
  </si>
  <si>
    <t xml:space="preserve">Kết quả mong đợi</t>
  </si>
  <si>
    <t xml:space="preserve">Ưu tiên</t>
  </si>
  <si>
    <t xml:space="preserve">CB-01</t>
  </si>
  <si>
    <t xml:space="preserve">Khai</t>
  </si>
  <si>
    <t xml:space="preserve">make smoke chạy xanh</t>
  </si>
  <si>
    <t xml:space="preserve">1) cd web &amp;&amp; npm ci
2) make smoke</t>
  </si>
  <si>
    <t xml:space="preserve">Báo "2 passed" (luồng tiền cơ bản và luồng chuyển thiếu).</t>
  </si>
  <si>
    <t xml:space="preserve">Cao</t>
  </si>
  <si>
    <t xml:space="preserve">Số test đã tăng: make smoke hiện chạy 9 spec (WEB-1 báo 9 passed trên máy của lane, chưa phải bạn). Cập nhật kỳ vọng khi bạn thử.</t>
  </si>
  <si>
    <t xml:space="preserve">CB-02</t>
  </si>
  <si>
    <t xml:space="preserve">Dựng stack diễn tập</t>
  </si>
  <si>
    <t xml:space="preserve">make rehearse</t>
  </si>
  <si>
    <t xml:space="preserve">In ra mã nhà nghỉ, PIN một lần của chủ và lễ tân, đường dẫn webhook. api, db, jobs đang chạy.</t>
  </si>
  <si>
    <t xml:space="preserve">Chạy được sau khi bỏ MinIO khỏi đường mặc định.</t>
  </si>
  <si>
    <t xml:space="preserve">CB-03</t>
  </si>
  <si>
    <t xml:space="preserve">Số tài khoản nhận tiền khớp tài khoản test SePay</t>
  </si>
  <si>
    <t xml:space="preserve">1) REHEARSE_ACCOUNT_NO=0000000001 make rehearse
2) chạy sepay status</t>
  </si>
  <si>
    <t xml:space="preserve">Dòng account hiện ******0001, default=true, CONNECTED.</t>
  </si>
  <si>
    <t xml:space="preserve">CB-04</t>
  </si>
  <si>
    <t xml:space="preserve">Tunnel Cloudflare chạy</t>
  </si>
  <si>
    <t xml:space="preserve">cloudflared tunnel --url http://localhost:18090</t>
  </si>
  <si>
    <t xml:space="preserve">Có địa chỉ https://….trycloudflare.com; SePay gọi được tới app.</t>
  </si>
  <si>
    <t xml:space="preserve">Địa chỉ đổi mỗi lần chạy lại tunnel: phải sửa URL webhook trong SePay.</t>
  </si>
  <si>
    <t xml:space="preserve">CB-05</t>
  </si>
  <si>
    <t xml:space="preserve">Tạo webhook SePay Test mode</t>
  </si>
  <si>
    <t xml:space="preserve">URL = địa chỉ tunnel + đường dẫn webhook; Tiền vào; JSON; tự gửi lại BẬT; "Dùng để xác thực thanh toán" BẬT; "Chỉ gửi khi có mã thanh toán" TẮT; lọc mã để TRỐNG; HMAC-SHA256</t>
  </si>
  <si>
    <t xml:space="preserve">Lưu được. Mô phỏng giao dịch có bản ghi trong Lịch sử gửi.</t>
  </si>
  <si>
    <t xml:space="preserve">Webhook thành công 993–1147 ms.</t>
  </si>
  <si>
    <t xml:space="preserve">CB-06</t>
  </si>
  <si>
    <t xml:space="preserve">Khóa HMAC khớp giữa SePay và server</t>
  </si>
  <si>
    <t xml:space="preserve">1) set-secret (nhập ẩn) bằng khóa của SePay
2) sepay status</t>
  </si>
  <si>
    <t xml:space="preserve">connection CONNECTED, secret stored true, signature check valid.</t>
  </si>
  <si>
    <t xml:space="preserve">Lần nhận gần nhất 18:10:26 UTC.</t>
  </si>
  <si>
    <t xml:space="preserve">CB-07</t>
  </si>
  <si>
    <t xml:space="preserve">Thay khóa SePay đã dán vào chat</t>
  </si>
  <si>
    <t xml:space="preserve">1) SePay: tạo lại khóa
2) set-secret bằng khóa mới
3) mô phỏng giao dịch</t>
  </si>
  <si>
    <t xml:space="preserve">Lịch sử gửi trả 200 với khóa mới. Khóa cũ không còn dùng ở đâu.</t>
  </si>
  <si>
    <t xml:space="preserve">Khóa cũ đã dán vào chat: tạo lại khóa trong SePay rồi set-secret lại bằng khóa mới.</t>
  </si>
  <si>
    <t xml:space="preserve">CB-08</t>
  </si>
  <si>
    <t xml:space="preserve">Lưu DATA_ENCRYPTION_KEY ngoài bản sao lưu</t>
  </si>
  <si>
    <t xml:space="preserve">Chép khóa của từng môi trường vào trình quản lý mật khẩu; production dùng khóa riêng, không dùng khóa của rehearse.</t>
  </si>
  <si>
    <t xml:space="preserve">Khóa được lưu tách khỏi bản sao lưu database. Mất khóa thì PIN, CCCD, số tài khoản và khóa SePay không đọc lại được.</t>
  </si>
  <si>
    <t xml:space="preserve">CB-09</t>
  </si>
  <si>
    <t xml:space="preserve">Lễ tân, Chủ</t>
  </si>
  <si>
    <t xml:space="preserve">Đăng nhập lần đầu bắt đặt PIN mới</t>
  </si>
  <si>
    <t xml:space="preserve">Đăng nhập owner và linh bằng PIN một lần</t>
  </si>
  <si>
    <t xml:space="preserve">Bị yêu cầu đặt PIN mới; PIN 123456 và 111111 bị từ chối.</t>
  </si>
  <si>
    <t xml:space="preserve">Vừa</t>
  </si>
  <si>
    <t xml:space="preserve">CB-10</t>
  </si>
  <si>
    <t xml:space="preserve">Sao lưu và khôi phục thử</t>
  </si>
  <si>
    <t xml:space="preserve">make backup-test</t>
  </si>
  <si>
    <t xml:space="preserve">PASS: backup-test; số dòng khớp ở mọi bảng (lần trước: 34 bảng).</t>
  </si>
  <si>
    <t xml:space="preserve">CB-11</t>
  </si>
  <si>
    <t xml:space="preserve">Chủ</t>
  </si>
  <si>
    <t xml:space="preserve">Tạo tài khoản Quản lý và Buồng phòng để thử quyền</t>
  </si>
  <si>
    <t xml:space="preserve">Chủ: Nhân viên, Thêm. Chọn chức vụ, quyền dùng app, tòa. Lưu PIN một lần.</t>
  </si>
  <si>
    <t xml:space="preserve">Hai tài khoản đăng nhập được. Dùng cho các mục Đăng nhập, quyền.</t>
  </si>
  <si>
    <t xml:space="preserve">Thấp</t>
  </si>
  <si>
    <t xml:space="preserve">TT-01</t>
  </si>
  <si>
    <t xml:space="preserve">Lễ tân, SePay</t>
  </si>
  <si>
    <t xml:space="preserve">Chuyển khoản đúng tiền, đúng mã phiếu thì tự Đã thanh toán</t>
  </si>
  <si>
    <t xml:space="preserve">1) Lễ tân: nhận phòng, trả phòng, chọn Chuyển khoản
2) SePay, Mô phỏng giao dịch: đúng số tiền, nội dung = mã phiếu trên màn QR (xóa nội dung mặc định), chọn VA
3) Gửi</t>
  </si>
  <si>
    <t xml:space="preserve">Màn QR tự chuyển Đã thanh toán trong khoảng 3 giây. Phòng sang Cần dọn. Giao dịch của chủ ghi Khớp phiếu.</t>
  </si>
  <si>
    <t xml:space="preserve">PH1003A1012, 80.000đ, tiền về 01:17:59.</t>
  </si>
  <si>
    <t xml:space="preserve">TT-02</t>
  </si>
  <si>
    <t xml:space="preserve">Chủ, SePay</t>
  </si>
  <si>
    <t xml:space="preserve">Nội dung không có mã phiếu thì Chưa rõ phiếu</t>
  </si>
  <si>
    <t xml:space="preserve">Mô phỏng 100.000đ với nội dung mặc định</t>
  </si>
  <si>
    <t xml:space="preserve">Giao dịch của chủ: Chưa rõ phiếu, có nút Gán vào phiếu. Không phiếu nào đổi trạng thái.</t>
  </si>
  <si>
    <t xml:space="preserve">Khoản 100.000đ đang treo, dùng cho TT-03.</t>
  </si>
  <si>
    <t xml:space="preserve">TT-03</t>
  </si>
  <si>
    <t xml:space="preserve">Gán khoản chưa rõ phiếu vào phiếu đúng số tiền</t>
  </si>
  <si>
    <t xml:space="preserve">1) Lễ tân: tạo phiếu còn đúng 100.000đ (A102), chọn Chuyển khoản, KHÔNG mô phỏng tiền
2) Chủ: Giao dịch, Gán vào phiếu
3) Chọn phiếu có nhãn Khớp số tiền, xác nhận</t>
  </si>
  <si>
    <t xml:space="preserve">Phiếu Đã thanh toán. Màn QR của lễ tân tự cập nhật. Biên lai có khoản chuyển 100.000đ. Nhật ký ghi việc gán.</t>
  </si>
  <si>
    <t xml:space="preserve">A102, PH1003A1022, 100.000đ, Khớp phiếu. Chưa xác nhận biên lai và Nhật ký. Giờ hiển thị sai: xem TT-25.</t>
  </si>
  <si>
    <t xml:space="preserve">TT-04</t>
  </si>
  <si>
    <t xml:space="preserve">Gán vào phiếu sai số tiền bị từ chối</t>
  </si>
  <si>
    <t xml:space="preserve">1) Mô phỏng 50.000đ, nội dung lạ
2) Tạo phiếu 80.000đ chưa thanh toán
3) Chủ thử gán khoản 50.000đ vào phiếu đó</t>
  </si>
  <si>
    <t xml:space="preserve">Phiếu hiện Khác số tiền. Xác nhận bị từ chối, báo số tiền không khớp. Phiếu không đổi.</t>
  </si>
  <si>
    <t xml:space="preserve">Phiếu Khác số tiền: nút xác nhận bị khóa, hiện "Khoản này 50.000đ, phiếu còn 80.000đ". Lỗi thông báo "đã được gán" (web đọc mã HTTP thay vì mã lỗi) đã sửa. Khoản 50.000đ vẫn treo, dùng cho các test khác.</t>
  </si>
  <si>
    <t xml:space="preserve">TT-05</t>
  </si>
  <si>
    <t xml:space="preserve">Lễ tân</t>
  </si>
  <si>
    <t xml:space="preserve">Lễ tân không gán được tiền</t>
  </si>
  <si>
    <t xml:space="preserve">Đăng nhập linh, mở trang Giao dịch của chủ</t>
  </si>
  <si>
    <t xml:space="preserve">Màn không có quyền. Không có nút Gán.</t>
  </si>
  <si>
    <t xml:space="preserve">Thử ở đúng tab đang đăng nhập. Mở tab mới thì bị đưa về đăng nhập (sessionStorage mỗi tab): xem DN-07 và DN-13.</t>
  </si>
  <si>
    <t xml:space="preserve">TT-06</t>
  </si>
  <si>
    <t xml:space="preserve">Một khoản không gán được hai lần</t>
  </si>
  <si>
    <t xml:space="preserve">Sau TT-03, thử gán lại khoản đã gán</t>
  </si>
  <si>
    <t xml:space="preserve">Không còn nút gán, hoặc bị từ chối vì đã gán.</t>
  </si>
  <si>
    <t xml:space="preserve">TT-07</t>
  </si>
  <si>
    <t xml:space="preserve">Chuyển thiếu: QR cho phần còn lại</t>
  </si>
  <si>
    <t xml:space="preserve">1) Phiếu 80.000đ, chọn Chuyển khoản
2) Mô phỏng 70.000đ đúng mã phiếu</t>
  </si>
  <si>
    <t xml:space="preserve">Màn hiện Đã nhận 70.000đ, Còn 10.000đ. QR mới đúng 10.000đ, cùng mã phiếu. Không có cảnh báo lệch tiền ngay. Phiếu chưa thanh toán.</t>
  </si>
  <si>
    <t xml:space="preserve">TT-08</t>
  </si>
  <si>
    <t xml:space="preserve">SePay</t>
  </si>
  <si>
    <t xml:space="preserve">Chuyển bù đủ thì Đã thanh toán</t>
  </si>
  <si>
    <t xml:space="preserve">Tiếp TT-07: mô phỏng 10.000đ cùng mã phiếu</t>
  </si>
  <si>
    <t xml:space="preserve">Tự thành Đã thanh toán. Biên lai có hai khoản chuyển.</t>
  </si>
  <si>
    <t xml:space="preserve">TT-09</t>
  </si>
  <si>
    <t xml:space="preserve">Chuyển thiếu để quá 15 phút thì có cảnh báo Chưa thu đủ</t>
  </si>
  <si>
    <t xml:space="preserve">Để phiếu đã nhận 70.000đ trên 80.000đ khoảng 15–20 phút</t>
  </si>
  <si>
    <t xml:space="preserve">Chủ nhận đúng một cảnh báo Chưa thu đủ, ghi số còn thiếu. Dịch vụ jobs chạy mỗi 5 phút nên có thể trễ tới vài phút.</t>
  </si>
  <si>
    <t xml:space="preserve">TT-10</t>
  </si>
  <si>
    <t xml:space="preserve">Chuyển thừa</t>
  </si>
  <si>
    <t xml:space="preserve">Phiếu 80.000đ, mô phỏng 90.000đ đúng mã</t>
  </si>
  <si>
    <t xml:space="preserve">Phiếu Đã thanh toán. Chủ nhận cảnh báo Thừa tiền ghi 10.000đ.</t>
  </si>
  <si>
    <t xml:space="preserve">TT-11</t>
  </si>
  <si>
    <t xml:space="preserve">Giao dịch tiền ra bị bỏ qua</t>
  </si>
  <si>
    <t xml:space="preserve">1) SePay: sửa tạm loại giao dịch của webhook thành Tất cả
2) Mô phỏng Tiền ra
3) Sửa lại về Tiền vào</t>
  </si>
  <si>
    <t xml:space="preserve">Không phiếu nào đổi trạng thái. Không hiện như tiền vào. Nhớ đặt lại webhook sau khi thử.</t>
  </si>
  <si>
    <t xml:space="preserve">Hiện nút Tiền ra đang bị xám vì webhook chỉ nghe Tiền vào.
QA tự động + đọc code, chưa thử tay: tiền ra được lưu thành 'Chưa rõ phiếu' và gán được vào phiếu (InsertPaymentEvent luôn ghi UNMATCHED). Giao API-2 (kết quả IGNORED).</t>
  </si>
  <si>
    <t xml:space="preserve">TT-12</t>
  </si>
  <si>
    <t xml:space="preserve">Gửi lại cùng giao dịch không tạo trùng</t>
  </si>
  <si>
    <t xml:space="preserve">SePay: Lịch sử gửi, gửi lại thủ công một giao dịch đã gửi</t>
  </si>
  <si>
    <t xml:space="preserve">Màn Giao dịch không thêm dòng. Tổng tiền không đổi.</t>
  </si>
  <si>
    <t xml:space="preserve">TT-13</t>
  </si>
  <si>
    <t xml:space="preserve">Cọc lớn hơn hóa đơn thì hoàn tiền mặt</t>
  </si>
  <si>
    <t xml:space="preserve">Nhận phòng với cọc 100.000đ, hóa đơn 80.000đ, trả phòng</t>
  </si>
  <si>
    <t xml:space="preserve">Không có lựa chọn QR. Chỉ nút Hoàn lại khách 20.000đ (tiền mặt). Phiếu Đã thanh toán. Khoản hoàn nằm trong ca của lễ tân.</t>
  </si>
  <si>
    <t xml:space="preserve">A101 và A102: chỉ có nút "Hoàn lại khách 20.000đ (tiền mặt)", phòng sang Cần dọn. Dòng hoàn ở Giao dịch hiện "0đ" (TT-25).
Sau rebuild dòng hoàn ở Giao dịch hiện −20.000đ, không còn 0đ (xem TT-25).</t>
  </si>
  <si>
    <t xml:space="preserve">TT-14</t>
  </si>
  <si>
    <t xml:space="preserve">Thanh toán tiền mặt</t>
  </si>
  <si>
    <t xml:space="preserve">Trả phòng, chọn Tiền mặt</t>
  </si>
  <si>
    <t xml:space="preserve">Đã thanh toán. Giao dịch của chủ ghi Tiền mặt. Tiền mặt dự kiến của ca tăng đúng số.</t>
  </si>
  <si>
    <t xml:space="preserve">A101, PH1003A101, 80.000đ tiền mặt lúc 00:38.</t>
  </si>
  <si>
    <t xml:space="preserve">TT-15</t>
  </si>
  <si>
    <t xml:space="preserve">Chờ 30 phút (hoặc nhờ dev ép hết hạn trên stack thử), đứng ở màn QR</t>
  </si>
  <si>
    <t xml:space="preserve">Màn tự hiện QR hết hạn, có nút tạo QR mới. Tiền chuyển vào mã cũ vẫn được ghi nhận khi SePay báo.</t>
  </si>
  <si>
    <t xml:space="preserve">TT-16</t>
  </si>
  <si>
    <t xml:space="preserve">Quét QR bằng app ngân hàng thật (không chuyển tiền)</t>
  </si>
  <si>
    <t xml:space="preserve">Quét QR rồi THOÁT, không xác nhận chuyển</t>
  </si>
  <si>
    <t xml:space="preserve">Đúng tài khoản, số tiền, nội dung = mã phiếu. Ghi vào Ghi chú: ô số tiền và nội dung của từng ngân hàng có sửa được không.</t>
  </si>
  <si>
    <t xml:space="preserve">Màn QR lễ tân hiện số tài khoản chính *******0001. Tài khoản Vietcombank hộ kinh doanh bắt buộc VA: xem GL-04.</t>
  </si>
  <si>
    <t xml:space="preserve">TT-17</t>
  </si>
  <si>
    <t xml:space="preserve">Tiền vào tài khoản khác không tính cho phiếu</t>
  </si>
  <si>
    <t xml:space="preserve">1) SePay: tạo thêm tài khoản test thứ hai
2) Mô phỏng vào tài khoản đó, nội dung = mã phiếu đang chờ</t>
  </si>
  <si>
    <t xml:space="preserve">Không phiếu nào thành Đã thanh toán.</t>
  </si>
  <si>
    <t xml:space="preserve">Tùy chọn.
Nghi cùng nguyên nhân TT-11 (đọc code): tiền vào tài khoản lạ cũng lưu UNMATCHED. Chưa kiểm chứng.</t>
  </si>
  <si>
    <t xml:space="preserve">TT-18</t>
  </si>
  <si>
    <t xml:space="preserve">Thu tiền mặt cho phần còn thiếu sau khi chuyển thiếu</t>
  </si>
  <si>
    <t xml:space="preserve">Phiếu 80.000đ đã nhận 70.000đ, lễ tân chọn thu tiền mặt</t>
  </si>
  <si>
    <t xml:space="preserve">Chỉ thu 10.000đ tiền mặt. Phiếu Đã thanh toán. Ca ghi 10.000đ tiền mặt.</t>
  </si>
  <si>
    <t xml:space="preserve">TT-19</t>
  </si>
  <si>
    <t xml:space="preserve">Trả phòng rồi rời màn thanh toán, quay lại sơ đồ</t>
  </si>
  <si>
    <t xml:space="preserve">Trả phòng, chọn chuyển khoản, quay lại sơ đồ phòng (hoặc tải lại trang), chạm phòng đó</t>
  </si>
  <si>
    <t xml:space="preserve">Ô phòng ghi Chờ thanh toán kèm số còn thiếu. Khung chi tiết có Tiếp tục thanh toán với đúng mã phiếu cũ. Không có chữ đang bảo trì, không có nút Trả phòng.</t>
  </si>
  <si>
    <t xml:space="preserve">03/10 08:43: ô phòng đã ghi Chờ thanh toán nhưng khung chi tiết ghi Phòng đang bảo trì (A101, A103). Nguyên nhân: nhánh mặc định của khung chi tiết. API-2 đã đẩy pendingPayment; WEB-1 chưa xong nút tiếp tục.
Đã sửa (WEB-1 4c8c1a2): ô Chờ thanh toán, khung có tổng, đã nhận, còn thiếu, Tiếp tục thanh toán, Thu tiền mặt, không có Trả phòng. Chủ và lễ tân, phone và desktop; e2e đạt trên API thật. Thử lại sau rebuild.</t>
  </si>
  <si>
    <t xml:space="preserve">TT-20</t>
  </si>
  <si>
    <t xml:space="preserve">Phiếu trả phòng không có tiền sau 30 phút</t>
  </si>
  <si>
    <t xml:space="preserve">Trả phòng chuyển khoản, không mô phỏng tiền, chờ khoảng 30 phút</t>
  </si>
  <si>
    <t xml:space="preserve">Chủ nhận đúng một cảnh báo Đã trả phòng, chưa thu tiền. Phiếu hiện trong danh sách chưa thu khi kết ca.</t>
  </si>
  <si>
    <t xml:space="preserve">Cảnh báo "Đã trả phòng, chưa thu tiền" xuất hiện (09:15, 09:23). Nhãn sai cho trường hợp hoàn tiền: xem TT-26.</t>
  </si>
  <si>
    <t xml:space="preserve">TT-21</t>
  </si>
  <si>
    <t xml:space="preserve">Cọc lớn hơn hóa đơn, rời màn trước khi bấm Hoàn lại</t>
  </si>
  <si>
    <t xml:space="preserve">Cọc 100.000đ, hóa đơn 80.000đ, trả phòng, rời màn trước khi hoàn, quay lại phòng</t>
  </si>
  <si>
    <t xml:space="preserve">Phòng mở lại được bằng nút Hoàn lại khách. Sau khi bấm: Đã thanh toán, khoản hoàn nằm trong ca. Dữ liệu cũ cũng xử lý được.</t>
  </si>
  <si>
    <t xml:space="preserve">03/10 08:48: A102 bị kẹt, ô phòng mất loại thuê và giờ ở, không bấm vào được.
Đã sửa một phần (WEB-1 f6add89): ô Chờ hoàn ₫X và nút Hoàn lại khách khi mở lại. Mới có unit test, chưa chạy với hoàn cọc thật. Thử lại sau rebuild.</t>
  </si>
  <si>
    <t xml:space="preserve">TT-22</t>
  </si>
  <si>
    <t xml:space="preserve">Mở màn trả phòng, để vài phút rồi mới thu tiền</t>
  </si>
  <si>
    <t xml:space="preserve">Mở màn trả phòng, chờ 3–5 phút, rồi thu tiền</t>
  </si>
  <si>
    <t xml:space="preserve">Giờ ra và số tiền đúng theo quy tắc API-2 chọn. Hóa đơn không tự thấp hơn thực tế.</t>
  </si>
  <si>
    <t xml:space="preserve">API-2 phải trả lời: giờ ra chốt lúc mở màn hay lúc xác nhận thanh toán.
WEB-1 báo API chốt giờ ra lúc xác nhận thanh toán (rời màn mà chưa xác nhận thì lượt vẫn đang ở). Cần xác nhận lại với API-2 rồi thử tay.</t>
  </si>
  <si>
    <t xml:space="preserve">TT-23</t>
  </si>
  <si>
    <t xml:space="preserve">Sau khi tải lại trang, mở phòng đã trả phòng mà chưa thanh toán</t>
  </si>
  <si>
    <t xml:space="preserve">Trả phòng, chọn chuyển khoản, tải lại trang, chạm phòng đó</t>
  </si>
  <si>
    <t xml:space="preserve">Màn tiếp tục thanh toán với đúng mã phiếu cũ. Không hiện lại form trả phòng, không tạo phiếu thanh toán thứ hai.</t>
  </si>
  <si>
    <t xml:space="preserve">03/10 A103: sau khi tải lại, khung chi tiết quay về màn chọn cách thanh toán.
Đã sửa (WEB-1 f6add89): mở lại phòng đã trả sẽ tiếp tục đúng thanh toán cũ, nút QR dùng lại thanh toán đang có. e2e đạt. Thử lại sau rebuild.</t>
  </si>
  <si>
    <t xml:space="preserve">TT-24</t>
  </si>
  <si>
    <t xml:space="preserve">Mở lượt ở đã trả phòng từ nút Xem trong cảnh báo</t>
  </si>
  <si>
    <t xml:space="preserve">Chủ: Cảnh báo, Xem một lượt đã trả phòng</t>
  </si>
  <si>
    <t xml:space="preserve">Tóm tắt chỉ đọc: Đã trả phòng lúc, trạng thái thanh toán, hóa đơn. Không có Trả phòng, Thêm dịch vụ, Sửa giờ, Chuyển phòng. API từ chối các thao tác đó (409).</t>
  </si>
  <si>
    <t xml:space="preserve">03/10 10:16: A103 hiện Đã ở 0 giờ và nút Trả phòng. API-2 (409 STAY_NOT_ACTIVE) và WEB-1 (dc15ef9) đã sửa.</t>
  </si>
  <si>
    <t xml:space="preserve">TT-25</t>
  </si>
  <si>
    <t xml:space="preserve">Giờ ngân hàng và dòng hoàn tiền ở Giao dịch</t>
  </si>
  <si>
    <t xml:space="preserve">Chủ: Giao dịch, xem khoản chuyển đã gán và khoản hoàn cọc</t>
  </si>
  <si>
    <t xml:space="preserve">Hiện giờ ngân hàng báo, kèm gán lúc nếu khác. Hoàn cọc hiện số âm (Hoàn tiền mặt −20.000đ), không còn 0đ Tiền mặt.</t>
  </si>
  <si>
    <t xml:space="preserve">Khoản 100.000đ về 01:10 hiện 08:33 (giờ gán); hoàn tiền hiện "0đ Tiền mặt". API đã có receivedAt, settledAt, CASH_REFUND; WEB-2 chưa hiển thị.
Ảnh chụp lại màn Giao dịch (stack diễn tập, sau rebuild): 100.000đ về 01:10 kèm 'gán lúc 08:33'; hoàn tiền hiện −20.000đ (Hoàn tiền mặt). Chưa xem tab Tiền mặt.</t>
  </si>
  <si>
    <t xml:space="preserve">TT-26</t>
  </si>
  <si>
    <t xml:space="preserve">Màn trả phòng mở lại hiện đúng tiền cọc</t>
  </si>
  <si>
    <t xml:space="preserve">Nhận phòng có cọc, trả phòng, thoát, mở lại màn trả phòng</t>
  </si>
  <si>
    <t xml:space="preserve">Dòng Đã cọc bằng đúng cọc, Phải thu = tổng trừ cọc trừ tiền đã nhận.</t>
  </si>
  <si>
    <t xml:space="preserve">03/10 08:42: A101 ghi cọc 0đ, phải thu 80.000đ. API-2 đối chiếu cọc lúc đọc và sửa dữ liệu cũ; WEB-1 đọc đúng trường. Gốc rễ chưa tái hiện được.</t>
  </si>
  <si>
    <t xml:space="preserve">TT-27</t>
  </si>
  <si>
    <t xml:space="preserve">Cảnh báo hoàn tiền không ghi là chưa thu</t>
  </si>
  <si>
    <t xml:space="preserve">Chủ: Cảnh báo, xem cảnh báo của phòng có cọc lớn hơn hóa đơn</t>
  </si>
  <si>
    <t xml:space="preserve">Hiện "Chờ hoàn 20.000đ cho khách" (REFUND_PENDING), không phải "Còn 20.000đ chưa thu".</t>
  </si>
  <si>
    <t xml:space="preserve">03/10 A101, A102 ghi "Còn 20.000đ chưa thu". API-2 đã thêm REFUND_PENDING và đổi cảnh báo cũ; WEB-2 đã đọc.</t>
  </si>
  <si>
    <t xml:space="preserve">TT-28</t>
  </si>
  <si>
    <t xml:space="preserve">Khai, Chủ</t>
  </si>
  <si>
    <t xml:space="preserve">QR và webhook cho tài khoản bắt buộc VA</t>
  </si>
  <si>
    <t xml:space="preserve">1) Tài khoản bắt buộc VA (Vietcombank hộ kinh doanh)
2) Kiểm tra QR trỏ về VA
3) Mô phỏng giao dịch vào VA</t>
  </si>
  <si>
    <t xml:space="preserve">QR trỏ về VA. Webhook khớp theo trường VA. Phiếu thành Đã thanh toán.</t>
  </si>
  <si>
    <t xml:space="preserve">Hiện QR trỏ số tài khoản chính (*0001). Prompt VA cho API-1 có thể chưa được giao. Cần biết loại tài khoản của nhà nghỉ thật (GL-04).</t>
  </si>
  <si>
    <t xml:space="preserve">TT-29</t>
  </si>
  <si>
    <t xml:space="preserve">Ô phòng chờ thanh toán không ghi "Còn thiếu 0đ"</t>
  </si>
  <si>
    <t xml:space="preserve">Mở sơ đồ phòng khi có phòng chờ thanh toán hoặc chờ hoàn</t>
  </si>
  <si>
    <t xml:space="preserve">Còn thiếu 0 thì không hiện số: hiện "Chờ hoàn ₫X" khi có tiền hoàn, hoặc "Cần kiểm tra phiếu".</t>
  </si>
  <si>
    <t xml:space="preserve">A101 ghi "Còn thiếu 0đ" trong khi màn trả phòng ghi phải thu 80.000đ. Đã giao WEB-1 quy tắc nhãn ô phòng.
Đã sửa (WEB-1 f6add89): Còn thiếu ₫X, Chờ hoàn ₫X hoặc Cần kiểm tra phiếu, không còn Còn thiếu 0đ. Unit test đạt vi và en. Thử lại sau rebuild.</t>
  </si>
  <si>
    <t xml:space="preserve">CA-01</t>
  </si>
  <si>
    <t xml:space="preserve">Ca mở khi có thao tác tiền mặt đầu tiên</t>
  </si>
  <si>
    <t xml:space="preserve">Lễ tân thu tiền mặt hoặc cọc</t>
  </si>
  <si>
    <t xml:space="preserve">Ca làm hiện quỹ đầu ca và tiền mặt thu được.</t>
  </si>
  <si>
    <t xml:space="preserve">Ca bắt đầu 00:30, quỹ đầu ca 0đ, thu tiền mặt trong ca 380.000đ.</t>
  </si>
  <si>
    <t xml:space="preserve">CA-02</t>
  </si>
  <si>
    <t xml:space="preserve">Ghi khoản chi</t>
  </si>
  <si>
    <t xml:space="preserve">Ca làm, Chi tiền: số tiền, khoản chi, ghi chú</t>
  </si>
  <si>
    <t xml:space="preserve">Không lưu được khi thiếu ghi chú. Tiền mặt dự kiến giảm đúng số. Không sửa hoặc xóa được sau khi lưu.</t>
  </si>
  <si>
    <t xml:space="preserve">CA-03</t>
  </si>
  <si>
    <t xml:space="preserve">Kết ca đếm đủ, không có phiếu chưa thu đủ</t>
  </si>
  <si>
    <t xml:space="preserve">Đếm theo mệnh giá cho khớp, kết ca</t>
  </si>
  <si>
    <t xml:space="preserve">Chênh lệch hiện Khớp. Kết ca không cần lý do. Số liệu bị khóa.</t>
  </si>
  <si>
    <t xml:space="preserve">CA-04</t>
  </si>
  <si>
    <t xml:space="preserve">Kết ca thiếu tiền</t>
  </si>
  <si>
    <t xml:space="preserve">Đếm thiếu 70.000đ, nhập lý do, kết ca</t>
  </si>
  <si>
    <t xml:space="preserve">Hiện Thiếu 70.000đ. Nút Kết ca khóa tới khi có lý do. Chủ nhận cảnh báo thiếu tiền. Đối soát ca hiện chênh lệch.</t>
  </si>
  <si>
    <t xml:space="preserve">Mới thấy màn: Thiếu 340.000đ, nút Kết ca khóa tới khi nhập lý do (10:12). Chưa bấm kết ca. Số 340.000đ lệch Tổng quan 320.000đ: xem CA-10.</t>
  </si>
  <si>
    <t xml:space="preserve">CA-05</t>
  </si>
  <si>
    <t xml:space="preserve">Kết ca khi còn phiếu chưa thu đủ</t>
  </si>
  <si>
    <t xml:space="preserve">Có phiếu đã nhận 70.000đ trên 80.000đ, đếm tiền mặt khớp</t>
  </si>
  <si>
    <t xml:space="preserve">Hộp Chưa thu đủ trong ca liệt kê phòng, mã phiếu, số còn lại. Vẫn bắt buộc nhập lý do dù tiền mặt khớp.</t>
  </si>
  <si>
    <t xml:space="preserve">CA-06</t>
  </si>
  <si>
    <t xml:space="preserve">Ca đã kết bị khóa</t>
  </si>
  <si>
    <t xml:space="preserve">Sau khi kết ca, thử sửa số đếm hoặc khoản chi cũ</t>
  </si>
  <si>
    <t xml:space="preserve">Không sửa được. Ghi thêm tiền mặt thì mở ca mới.</t>
  </si>
  <si>
    <t xml:space="preserve">CA-07</t>
  </si>
  <si>
    <t xml:space="preserve">Chủ thu tiền mặt từ sơ đồ phòng của chủ</t>
  </si>
  <si>
    <t xml:space="preserve">Chủ nhận phòng và trả phòng, thu tiền mặt</t>
  </si>
  <si>
    <t xml:space="preserve">Giao dịch ghi Tiền mặt, không gắn ca, vẫn tính vào doanh thu. Không có nút Kết ca hay Chi tiền.</t>
  </si>
  <si>
    <t xml:space="preserve">Theo quy tắc 17a: nếu lễ tân có ca mở ở tòa đó thì khoản chủ thu hoặc hoàn tiền mặt tính vào ca đó, đánh dấu do chủ; chỉ khi không có ca mở mới không gắn ca. Xem CA-10.</t>
  </si>
  <si>
    <t xml:space="preserve">CA-08</t>
  </si>
  <si>
    <t xml:space="preserve">Đối soát ca</t>
  </si>
  <si>
    <t xml:space="preserve">Chủ: Đối soát ca, lọc theo người, tháng, chỉ có chênh lệch, mở một ca</t>
  </si>
  <si>
    <t xml:space="preserve">Thấy số đếm, khoản chi, lý do, người bàn giao.</t>
  </si>
  <si>
    <t xml:space="preserve">CA-09</t>
  </si>
  <si>
    <t xml:space="preserve">Xóa nhân viên khi đang có ca mở</t>
  </si>
  <si>
    <t xml:space="preserve">Chủ xóa nhân viên có ca chưa kết</t>
  </si>
  <si>
    <t xml:space="preserve">Bị từ chối, yêu cầu kết ca trước.</t>
  </si>
  <si>
    <t xml:space="preserve">CA-10</t>
  </si>
  <si>
    <t xml:space="preserve">Chủ, Lễ tân</t>
  </si>
  <si>
    <t xml:space="preserve">Tiền mặt phải có khớp giữa Kết ca và Tổng quan</t>
  </si>
  <si>
    <t xml:space="preserve">Chủ hoàn tiền mặt khi lễ tân có ca mở, so Kết ca và Tổng quan</t>
  </si>
  <si>
    <t xml:space="preserve">Hai con số bằng nhau. Khoản chủ làm nằm trong ca đang mở và có nhãn do chủ.</t>
  </si>
  <si>
    <t xml:space="preserve">03/10 10:16: Kết ca 340.000đ, Tổng quan 320.000đ. API-2 xác nhận nguyên nhân (chủ hoàn tiền mặt không gắn ca) và sửa; quy tắc 17a đã chấp nhận.</t>
  </si>
  <si>
    <t xml:space="preserve">CA-11</t>
  </si>
  <si>
    <t xml:space="preserve">Kết ca xem được từng khoản tạo nên số tiền mặt</t>
  </si>
  <si>
    <t xml:space="preserve">Kết ca, mở từng dòng Thu tiền mặt và Chi</t>
  </si>
  <si>
    <t xml:space="preserve">Danh sách thời điểm, phòng, loại (cọc, thanh toán, hoàn, chi), số tiền, nhãn do chủ. Tổng danh sách bằng tiền mặt phải có.</t>
  </si>
  <si>
    <t xml:space="preserve">API-2 đang thêm danh sách movements; WEB-1 làm màn sau đó.
Đã làm (API-2 movements, WEB-1 a391f43): mỗi dòng mở ra giờ, phòng, loại, số tiền có dấu, nhãn do chủ. Thử lại sau rebuild.</t>
  </si>
  <si>
    <t xml:space="preserve">LO-01</t>
  </si>
  <si>
    <t xml:space="preserve">Nhận phòng không có giấy tờ</t>
  </si>
  <si>
    <t xml:space="preserve">Nhận phòng, bỏ trống CCCD</t>
  </si>
  <si>
    <t xml:space="preserve">Nhận được. Giờ vào theo đồng hồ server. Phòng sang Có khách.</t>
  </si>
  <si>
    <t xml:space="preserve">Nhiều lượt nhận phòng A101 đến A103 không có CCCD.</t>
  </si>
  <si>
    <t xml:space="preserve">LO-02</t>
  </si>
  <si>
    <t xml:space="preserve">Thêm dịch vụ</t>
  </si>
  <si>
    <t xml:space="preserve">Chi tiết phòng, Thêm dịch vụ</t>
  </si>
  <si>
    <t xml:space="preserve">Tổng cập nhật đúng giá. Tồn kho giảm. Số tiền không chạy hiệu ứng nhảy số.</t>
  </si>
  <si>
    <t xml:space="preserve">LO-03</t>
  </si>
  <si>
    <t xml:space="preserve">1) Sửa giờ vào trong giới hạn, có lý do
2) Thử muộn hơn 60 phút so với giờ đã ghi
3) Thử giờ ở tương lai</t>
  </si>
  <si>
    <t xml:space="preserve">Giá tính lại. Chủ nhận cảnh báo ghi giờ cũ, giờ mới, lý do. Hai trường hợp ngoài giới hạn bị từ chối.</t>
  </si>
  <si>
    <t xml:space="preserve">LO-04</t>
  </si>
  <si>
    <t xml:space="preserve">Giờ trả phòng không sửa được</t>
  </si>
  <si>
    <t xml:space="preserve">Tìm cách sửa giờ ra</t>
  </si>
  <si>
    <t xml:space="preserve">Không có chức năng sửa giờ trả phòng.</t>
  </si>
  <si>
    <t xml:space="preserve">LO-05</t>
  </si>
  <si>
    <t xml:space="preserve">Chuyển phòng</t>
  </si>
  <si>
    <t xml:space="preserve">Chi tiết, Chuyển phòng sang phòng trống</t>
  </si>
  <si>
    <t xml:space="preserve">Giữ giờ vào và dịch vụ. Giá theo loại phòng mới. Phòng cũ Cần dọn. Chuyển sang phòng có khách bị từ chối.</t>
  </si>
  <si>
    <t xml:space="preserve">LO-06</t>
  </si>
  <si>
    <t xml:space="preserve">Biên lai in khổ 80 mm</t>
  </si>
  <si>
    <t xml:space="preserve">Trả phòng xong, In phiếu, xem bản xem trước khi in</t>
  </si>
  <si>
    <t xml:space="preserve">Khổ 80 mm. Không in nút bấm. Có tên nhà nghỉ, mã phiếu, các khoản thanh toán.</t>
  </si>
  <si>
    <t xml:space="preserve">LO-07</t>
  </si>
  <si>
    <t xml:space="preserve">Lịch sử lượt ở</t>
  </si>
  <si>
    <t xml:space="preserve">Chọn ngày bằng nút trước/sau, lịch, Hôm nay, Hôm qua</t>
  </si>
  <si>
    <t xml:space="preserve">Danh sách đúng ngày. Cột Số CCCD và Ảnh CCCD đúng, không hiện số hay ảnh. Ngày quá giới hạn (mặc định 7 ngày) không xem được.</t>
  </si>
  <si>
    <t xml:space="preserve">Lịch sử 03/10: 7 lượt; thanh ngày, chọn ngày, cột CCCD ghi Chưa đúng. Chưa thử giới hạn 7 ngày.</t>
  </si>
  <si>
    <t xml:space="preserve">LO-08</t>
  </si>
  <si>
    <t xml:space="preserve">Lịch sử và diễn biến của một lượt ở</t>
  </si>
  <si>
    <t xml:space="preserve">Chủ: Lượt ở, chọn khoảng ngày, mở một lượt</t>
  </si>
  <si>
    <t xml:space="preserve">Diễn biến theo thời gian: nhận phòng, sửa giờ, dịch vụ, trả phòng, tiền về, dọn xong.</t>
  </si>
  <si>
    <t xml:space="preserve">LO-09</t>
  </si>
  <si>
    <t xml:space="preserve">Tìm kiếm lịch sử</t>
  </si>
  <si>
    <t xml:space="preserve">Tìm theo phòng, tên khách, số điện thoại</t>
  </si>
  <si>
    <t xml:space="preserve">Kết quả đúng.</t>
  </si>
  <si>
    <t xml:space="preserve">LO-10</t>
  </si>
  <si>
    <t xml:space="preserve">Số điện thoại khi nhận phòng</t>
  </si>
  <si>
    <t xml:space="preserve">Nhập số 9, 11 và 14 chữ số, số có +84</t>
  </si>
  <si>
    <t xml:space="preserve">Chỉ nhận 9–11 chữ số, đầu 0 hoặc +84, có thông báo lỗi rõ.</t>
  </si>
  <si>
    <t xml:space="preserve">Đã có unit test (phone.test.ts), chưa có e2e.</t>
  </si>
  <si>
    <t xml:space="preserve">DP-01</t>
  </si>
  <si>
    <t xml:space="preserve">Đánh dấu phòng đã dọn</t>
  </si>
  <si>
    <t xml:space="preserve">Chạm phòng Cần dọn, Đã dọn xong</t>
  </si>
  <si>
    <t xml:space="preserve">Phòng sang Trống. Ghi ai và lúc nào.</t>
  </si>
  <si>
    <t xml:space="preserve">DP-02</t>
  </si>
  <si>
    <t xml:space="preserve">Chủ, Quản lý</t>
  </si>
  <si>
    <t xml:space="preserve">Chủ hoặc quản lý đánh dấu dọn từ sơ đồ của chủ</t>
  </si>
  <si>
    <t xml:space="preserve">Chạm phòng Cần dọn trên sơ đồ phòng của chủ</t>
  </si>
  <si>
    <t xml:space="preserve">Giống DP-01.</t>
  </si>
  <si>
    <t xml:space="preserve">DP-03</t>
  </si>
  <si>
    <t xml:space="preserve">Buồng phòng</t>
  </si>
  <si>
    <t xml:space="preserve">Danh sách dọn theo thời gian chờ</t>
  </si>
  <si>
    <t xml:space="preserve">Đăng nhập buồng phòng</t>
  </si>
  <si>
    <t xml:space="preserve">Chờ lâu nhất lên đầu. Nhãn xám, cam, đỏ theo thời gian chờ. Chỉ thấy tòa được cấp quyền.</t>
  </si>
  <si>
    <t xml:space="preserve">DP-04</t>
  </si>
  <si>
    <t xml:space="preserve">Buồng phòng, Chủ</t>
  </si>
  <si>
    <t xml:space="preserve">Báo hư hỏng và khóa phòng</t>
  </si>
  <si>
    <t xml:space="preserve">Dọn phòng, Báo thiếu, hư: chọn loại, mô tả, Cần khóa phòng</t>
  </si>
  <si>
    <t xml:space="preserve">Không có nút thêm ảnh. Phòng sang Bảo trì. Có phiếu bảo trì. Chủ nhận cảnh báo.</t>
  </si>
  <si>
    <t xml:space="preserve">DP-05</t>
  </si>
  <si>
    <t xml:space="preserve">Khóa phòng đang có khách bị từ chối</t>
  </si>
  <si>
    <t xml:space="preserve">Báo hư phòng đang có khách, chọn khóa phòng</t>
  </si>
  <si>
    <t xml:space="preserve">Bị từ chối.</t>
  </si>
  <si>
    <t xml:space="preserve">DP-06</t>
  </si>
  <si>
    <t xml:space="preserve">Nhập chi phí sửa và hoàn thành phiếu</t>
  </si>
  <si>
    <t xml:space="preserve">Bảo trì, Xử lý: ngày dự kiến, vật tư, nhân công, chuyển Xong</t>
  </si>
  <si>
    <t xml:space="preserve">Phòng mở lại. Khoản Sửa chữa bảo trì xuất hiện ở tháng hoàn thành.</t>
  </si>
  <si>
    <t xml:space="preserve">DP-07</t>
  </si>
  <si>
    <t xml:space="preserve">Sửa chi phí sau khi phiếu đã Xong</t>
  </si>
  <si>
    <t xml:space="preserve">Chủ đổi chi phí phiếu đã xong. Quản lý thử đổi.</t>
  </si>
  <si>
    <t xml:space="preserve">Khoản chi cập nhật, có nhật ký. Quản lý không sửa được chi phí.</t>
  </si>
  <si>
    <t xml:space="preserve">DP-08</t>
  </si>
  <si>
    <t xml:space="preserve">Báo phòng có dấu hiệu đã dùng</t>
  </si>
  <si>
    <t xml:space="preserve">Buồng phòng: Báo cho chủ</t>
  </si>
  <si>
    <t xml:space="preserve">Chủ nhận cảnh báo.</t>
  </si>
  <si>
    <t xml:space="preserve">DP-09</t>
  </si>
  <si>
    <t xml:space="preserve">Lễ tân, Chủ, Quản lý</t>
  </si>
  <si>
    <t xml:space="preserve">Chạm phòng Cần dọn trên sơ đồ có đủ hành động</t>
  </si>
  <si>
    <t xml:space="preserve">Chạm phòng Cần dọn trên sơ đồ phòng (điện thoại và máy tính)</t>
  </si>
  <si>
    <t xml:space="preserve">Thấy danh sách việc, Đã dọn xong, Đặt bảo trì, Báo thiếu hư. Không có quyền Sửa thì chỉ xem.</t>
  </si>
  <si>
    <t xml:space="preserve">03/10 10:04: khung trên sơ đồ chỉ có nút Dọn xong; trang /clean có đủ. Đã giao WEB-1 dùng một component chung.
Đã sửa (WEB-1 25fc4cb): khung trên sơ đồ dùng cùng một component với /clean, đủ 4 hành động; người chỉ có quyền Xem không thấy hành động. Thử lại sau rebuild.</t>
  </si>
  <si>
    <t xml:space="preserve">GT-01</t>
  </si>
  <si>
    <t xml:space="preserve">Thu CCCD khi nhận phòng</t>
  </si>
  <si>
    <t xml:space="preserve">Nhập số CCCD, chụp mặt trước</t>
  </si>
  <si>
    <t xml:space="preserve">Không có ô khách đồng ý. Có dòng thông báo thu theo quy định khai báo lưu trú. Lưu được. Chỉ hiện chỉ báo Có số CCCD, Có ảnh mặt trước, Chưa có mặt sau.</t>
  </si>
  <si>
    <t xml:space="preserve">GT-02</t>
  </si>
  <si>
    <t xml:space="preserve">Lễ tân không xem lại được số và ảnh</t>
  </si>
  <si>
    <t xml:space="preserve">Mở chi tiết phòng, sơ đồ máy tính, Lịch sử</t>
  </si>
  <si>
    <t xml:space="preserve">Chỉ thấy chỉ báo. Không có số, không có ảnh, không có nút xem.</t>
  </si>
  <si>
    <t xml:space="preserve">GT-03</t>
  </si>
  <si>
    <t xml:space="preserve">Số CCCD che sẵn, có nút Hiện</t>
  </si>
  <si>
    <t xml:space="preserve">Chủ: chi tiết lượt ở, khối Giấy tờ khách</t>
  </si>
  <si>
    <t xml:space="preserve">Số hiện dạng che. Hiện lộ đủ số. Nhật ký có dòng GUEST_ID.</t>
  </si>
  <si>
    <t xml:space="preserve">QA GI-02 + đọc code, chưa thử tay: nhật ký xem CCCD có ghi nhưng xếp nhóm Giá và cài đặt, lọc Giấy tờ khách không ra. Cả 8 mã GUEST_ID_* và 2 mã INSTALLER_* bị sai nhóm (tiền tố chữ hoa). Giao API-1.</t>
  </si>
  <si>
    <t xml:space="preserve">GT-04</t>
  </si>
  <si>
    <t xml:space="preserve">Xem, tải, xóa ảnh CCCD</t>
  </si>
  <si>
    <t xml:space="preserve">Mở ảnh mặt trước, tải xuống, xóa</t>
  </si>
  <si>
    <t xml:space="preserve">Ảnh hiện. Tải được. Xóa xong ảnh mất. Mỗi thao tác có dòng nhật ký.</t>
  </si>
  <si>
    <t xml:space="preserve">GT-05</t>
  </si>
  <si>
    <t xml:space="preserve">Quản lý</t>
  </si>
  <si>
    <t xml:space="preserve">Quản lý chỉ xem được khi có quyền xem tòa</t>
  </si>
  <si>
    <t xml:space="preserve">Quản lý có và không có quyền Xem ở tòa của lượt ở</t>
  </si>
  <si>
    <t xml:space="preserve">Có quyền thì xem được, không có quyền thì không.</t>
  </si>
  <si>
    <t xml:space="preserve">GT-06</t>
  </si>
  <si>
    <t xml:space="preserve">Cờ chỉ báo trong danh sách đúng</t>
  </si>
  <si>
    <t xml:space="preserve">Lịch sử lượt ở của lễ tân và của chủ với lượt có số và ảnh</t>
  </si>
  <si>
    <t xml:space="preserve">Hiện Có và Trước. Không bị hiện Chưa sai.</t>
  </si>
  <si>
    <t xml:space="preserve">GT-07</t>
  </si>
  <si>
    <t xml:space="preserve">Ảnh quá lớn hoặc không phải ảnh</t>
  </si>
  <si>
    <t xml:space="preserve">Tải file lớn hơn 5 MB, rồi file .txt</t>
  </si>
  <si>
    <t xml:space="preserve">Bị từ chối với thông báo rõ.</t>
  </si>
  <si>
    <t xml:space="preserve">GT-08</t>
  </si>
  <si>
    <t xml:space="preserve">Số và ảnh không lọt vào log</t>
  </si>
  <si>
    <t xml:space="preserve">docker compose ... logs api | grep -c "079" (dùng 3 số đầu của CCCD thử)</t>
  </si>
  <si>
    <t xml:space="preserve">Không thấy số hay dữ liệu ảnh trong log.</t>
  </si>
  <si>
    <t xml:space="preserve">Chỉ dùng số CCCD thử, không dùng số thật.</t>
  </si>
  <si>
    <t xml:space="preserve">GT-09</t>
  </si>
  <si>
    <t xml:space="preserve">Tự xóa sau N ngày</t>
  </si>
  <si>
    <t xml:space="preserve">Chủ đặt số ngày tự xóa nhỏ trên stack thử, chạy stayguard jobs run</t>
  </si>
  <si>
    <t xml:space="preserve">Quá hạn thì số và ảnh bị xóa, chỉ báo về Chưa.</t>
  </si>
  <si>
    <t xml:space="preserve">DN-01</t>
  </si>
  <si>
    <t xml:space="preserve">Sai PIN 5 lần thì khóa</t>
  </si>
  <si>
    <t xml:space="preserve">Nhập sai PIN 5 lần</t>
  </si>
  <si>
    <t xml:space="preserve">Khóa 15 phút. Chủ nhận cảnh báo. Nhập đúng PIN trong lúc khóa vẫn bị từ chối.</t>
  </si>
  <si>
    <t xml:space="preserve">DN-02</t>
  </si>
  <si>
    <t xml:space="preserve">Sai mã nhà nghỉ, tên đăng nhập hoặc PIN cho cùng một thông báo</t>
  </si>
  <si>
    <t xml:space="preserve">Thử ba kiểu sai khác nhau</t>
  </si>
  <si>
    <t xml:space="preserve">Cùng một thông báo, không lộ tên đăng nhập nào tồn tại.</t>
  </si>
  <si>
    <t xml:space="preserve">DN-03</t>
  </si>
  <si>
    <t xml:space="preserve">PIN dễ đoán bị từ chối</t>
  </si>
  <si>
    <t xml:space="preserve">Đặt PIN 123456, rồi 111111</t>
  </si>
  <si>
    <t xml:space="preserve">DN-04</t>
  </si>
  <si>
    <t xml:space="preserve">Nhập lại PIN chủ cho thao tác nhạy cảm</t>
  </si>
  <si>
    <t xml:space="preserve">Xóa nhân viên hoặc thêm tài khoản ngân hàng, nhập sai PIN nhiều lần</t>
  </si>
  <si>
    <t xml:space="preserve">Bị từ chối. Sai nhiều lần dẫn tới khóa tài khoản như đăng nhập.</t>
  </si>
  <si>
    <t xml:space="preserve">DN-05</t>
  </si>
  <si>
    <t xml:space="preserve">Quản lý không tác động lên chủ hoặc quản lý khác</t>
  </si>
  <si>
    <t xml:space="preserve">Quản lý thử đặt lại PIN, khóa, xóa chủ</t>
  </si>
  <si>
    <t xml:space="preserve">Nút ẩn hoặc bị từ chối.</t>
  </si>
  <si>
    <t xml:space="preserve">DN-06</t>
  </si>
  <si>
    <t xml:space="preserve">Quản lý vào thẳng sơ đồ phòng</t>
  </si>
  <si>
    <t xml:space="preserve">Đăng nhập quản lý</t>
  </si>
  <si>
    <t xml:space="preserve">Vào Sơ đồ phòng. Không có tab Tổng quan. Nhân viên, lương, chi phí, báo cáo, nhật ký báo không có quyền.</t>
  </si>
  <si>
    <t xml:space="preserve">DN-07</t>
  </si>
  <si>
    <t xml:space="preserve">Lễ tân không vào được trang của chủ</t>
  </si>
  <si>
    <t xml:space="preserve">linh mở /vi/owner</t>
  </si>
  <si>
    <t xml:space="preserve">Màn không có quyền.</t>
  </si>
  <si>
    <t xml:space="preserve">Mở /vi/owner/transactions ở tab mới bị đưa về đăng nhập, không thấy màn không có quyền. Nghi do sessionStorage mỗi tab; đã giao cookie phiên (DN-13). Thử lại ở cùng tab.
Đã sửa (WEB-1 cbf7c96 cookie phiên, f6add89 chặn trang chủ theo vai trò). Thử lại ở tab mới sau rebuild; nhớ đăng nhập lại.</t>
  </si>
  <si>
    <t xml:space="preserve">DN-08</t>
  </si>
  <si>
    <t xml:space="preserve">Buồng phòng chỉ thấy màn buồng phòng</t>
  </si>
  <si>
    <t xml:space="preserve">Chỉ Dọn phòng, Lịch, Tài khoản. Không thấy tiền.</t>
  </si>
  <si>
    <t xml:space="preserve">DN-09</t>
  </si>
  <si>
    <t xml:space="preserve">Đổi PIN, khóa, xóa người dùng thu hồi phiên</t>
  </si>
  <si>
    <t xml:space="preserve">Nhân viên đăng nhập ở máy thứ hai. Chủ khóa, xóa hoặc đặt lại PIN</t>
  </si>
  <si>
    <t xml:space="preserve">Phiên ở máy kia bị đăng xuất ở thao tác tiếp theo.</t>
  </si>
  <si>
    <t xml:space="preserve">DN-10</t>
  </si>
  <si>
    <t xml:space="preserve">Xóa nhân viên vẫn giữ lịch sử</t>
  </si>
  <si>
    <t xml:space="preserve">Chủ xóa nhân viên</t>
  </si>
  <si>
    <t xml:space="preserve">Không đăng nhập được. Lượt ở, ca, nhật ký, bảng lương cũ vẫn còn tên.</t>
  </si>
  <si>
    <t xml:space="preserve">DN-11</t>
  </si>
  <si>
    <t xml:space="preserve">Đăng xuất</t>
  </si>
  <si>
    <t xml:space="preserve">Tài khoản, Đăng xuất, bấm nút Back</t>
  </si>
  <si>
    <t xml:space="preserve">Về trang đăng nhập, Back không vào lại được.</t>
  </si>
  <si>
    <t xml:space="preserve">DN-12</t>
  </si>
  <si>
    <t xml:space="preserve">Quyền theo tòa</t>
  </si>
  <si>
    <t xml:space="preserve">Chủ đặt Xem, Sửa, Không cho một nhân viên</t>
  </si>
  <si>
    <t xml:space="preserve">Có hiệu lực ở thao tác kế tiếp. Tòa Không thì ẩn. Xem thì không có nút thao tác.</t>
  </si>
  <si>
    <t xml:space="preserve">DN-13</t>
  </si>
  <si>
    <t xml:space="preserve">Mở link trong tab mới không phải đăng nhập lại</t>
  </si>
  <si>
    <t xml:space="preserve">Mở /vi/clean?room=… trong tab mới của cùng trình duyệt</t>
  </si>
  <si>
    <t xml:space="preserve">Không phải đăng nhập lại. Nếu hết phiên thì đăng nhập xong quay về đúng link.</t>
  </si>
  <si>
    <t xml:space="preserve">API đã có cookie phiên (d818ebd). WEB-1 chưa làm phần web.
Đã sửa (WEB-1 cbf7c96): cookie sg_session, tab thứ hai mở /vi/clean?room=… vẫn đăng nhập; e2e đạt. Thử lại sau rebuild, đăng nhập lại.</t>
  </si>
  <si>
    <t xml:space="preserve">DN-14</t>
  </si>
  <si>
    <t xml:space="preserve">Lễ tân mở trang chỉ của chủ trong cùng tab</t>
  </si>
  <si>
    <t xml:space="preserve">Đăng nhập linh, gõ /vi/owner/transactions vào thanh địa chỉ của chính tab đó</t>
  </si>
  <si>
    <t xml:space="preserve">Màn không có quyền kèm nút về sơ đồ phòng. Vẫn đang đăng nhập, không bị đưa về trang đăng nhập.</t>
  </si>
  <si>
    <t xml:space="preserve">Chờ cookie phiên (DN-13) để thử trong cùng một phiên.
Đã sửa (WEB-1 f6add89): màn không có quyền kèm nút về sơ đồ phòng, giữ phiên; chỉ 401 mới về đăng nhập kèm đường dẫn quay lại. e2e đạt. Thử lại sau rebuild.</t>
  </si>
  <si>
    <t xml:space="preserve">TD-01</t>
  </si>
  <si>
    <t xml:space="preserve">Tổng quan khớp số liệu</t>
  </si>
  <si>
    <t xml:space="preserve">So Tổng quan, Giao dịch, Báo cáo</t>
  </si>
  <si>
    <t xml:space="preserve">Doanh thu bằng tổng hóa đơn đã thanh toán ở mọi chỗ. Số phòng theo tòa khớp sơ đồ.</t>
  </si>
  <si>
    <t xml:space="preserve">Doanh thu 580.000đ khớp 7 lượt. Tiền mặt phải có lệch (Kết ca 340.000đ, Tổng quan 320.000đ); API-2 đã sửa bằng một sổ tiền mặt chung (quy tắc 17a). Thử lại sau rebuild.</t>
  </si>
  <si>
    <t xml:space="preserve">TD-02</t>
  </si>
  <si>
    <t xml:space="preserve">Mục Cần xử lý ngay</t>
  </si>
  <si>
    <t xml:space="preserve">Tạo phòng quá giờ, phòng chờ dọn lâu, thiếu tiền kết ca</t>
  </si>
  <si>
    <t xml:space="preserve">Mỗi mục hiện đúng. Bấm vào mở đúng màn xử lý.</t>
  </si>
  <si>
    <t xml:space="preserve">TD-03</t>
  </si>
  <si>
    <t xml:space="preserve">Cảnh báo</t>
  </si>
  <si>
    <t xml:space="preserve">Lọc chưa xem, đánh dấu đã xem</t>
  </si>
  <si>
    <t xml:space="preserve">Số trên chuông giảm. Cảnh báo về tiền và giờ không tự biến mất.</t>
  </si>
  <si>
    <t xml:space="preserve">TD-04</t>
  </si>
  <si>
    <t xml:space="preserve">Nhật ký thao tác</t>
  </si>
  <si>
    <t xml:space="preserve">Chọn khoảng ngày, lọc người và loại, tìm chữ</t>
  </si>
  <si>
    <t xml:space="preserve">Có đủ thao tác quan trọng (sửa giờ, gán tiền, xem CCCD, đổi quyền). Không sửa hoặc xóa được.</t>
  </si>
  <si>
    <t xml:space="preserve">Ảnh Nhật ký 03/10: dòng 'Thanh toán xong {room}', 'Tạo thanh toán {room}', 'Trả phòng {room}', 'Nhận phòng {room}' hiện nguyên {room}; cột Người trống ở dòng 10:12 (thao tác của hệ thống). Nguyên nhân: API không ghi số phòng vào nhật ký; thêm 27 mã thao tác chưa có câu mô tả (đọc code). Giao API-1 (room, bill) và WEB-2 (câu mô tả).</t>
  </si>
  <si>
    <t xml:space="preserve">TD-05</t>
  </si>
  <si>
    <t xml:space="preserve">Sơ đồ phòng của chủ không có thao tác ca</t>
  </si>
  <si>
    <t xml:space="preserve">Mở Sơ đồ phòng bằng tài khoản chủ</t>
  </si>
  <si>
    <t xml:space="preserve">Không có Kết ca hay Chi tiền. Có thanh chọn tòa.</t>
  </si>
  <si>
    <t xml:space="preserve">TD-06</t>
  </si>
  <si>
    <t xml:space="preserve">Cảnh báo tự đóng khi việc đã xong</t>
  </si>
  <si>
    <t xml:space="preserve">Gán khoản chưa rõ phiếu, thanh toán phiếu chưa thu, hoàn cọc, rồi xem Tổng quan và Cảnh báo</t>
  </si>
  <si>
    <t xml:space="preserve">Cần xử lý ngay chỉ còn việc đang mở. Cảnh báo cũ có nhãn Đã giải quyết lúc.</t>
  </si>
  <si>
    <t xml:space="preserve">03/10: Cần xử lý ngay ghi 8 mục, còn khoản 100.000đ đã gán và các phiếu đã thanh toán. API-2 đã thêm resolvedAt; chờ WEB-2.
Đã sửa (WEB-2 5aaa0f2): Cần xử lý chỉ đếm việc còn mở, việc xong hiện mờ kèm Đã giải quyết lúc. Đạt trên API thật ở stack của lane. Thử lại sau rebuild.</t>
  </si>
  <si>
    <t xml:space="preserve">TD-07</t>
  </si>
  <si>
    <t xml:space="preserve">Nút Xem trong cảnh báo mở dòng thời gian của chủ</t>
  </si>
  <si>
    <t xml:space="preserve">Chủ: Cảnh báo, Xem một cảnh báo của lượt ở</t>
  </si>
  <si>
    <t xml:space="preserve">Mở dòng thời gian lượt ở của chủ, không mở trang của lễ tân.</t>
  </si>
  <si>
    <t xml:space="preserve">WEB-2 đã đẩy (a36d2bf): Xem trên cảnh báo có lượt ở mở /owner/stay. Cần thử lại sau rebuild.</t>
  </si>
  <si>
    <t xml:space="preserve">TD-08</t>
  </si>
  <si>
    <t xml:space="preserve">Cảnh báo cập nhật SePay đọc được</t>
  </si>
  <si>
    <t xml:space="preserve">Xem cảnh báo Cập nhật SePay</t>
  </si>
  <si>
    <t xml:space="preserve">Câu dễ đọc có giờ, không hiện chuỗi 2026-10-02T18:01:20Z.</t>
  </si>
  <si>
    <t xml:space="preserve">WEB-2 đã đẩy: SEPAY_UPDATED hiện câu đọc được thay cho chuỗi ISO. Cần thử lại sau rebuild.</t>
  </si>
  <si>
    <t xml:space="preserve">CD-01</t>
  </si>
  <si>
    <t xml:space="preserve">Tài khoản nhận tiền: thêm, mặc định, xóa</t>
  </si>
  <si>
    <t xml:space="preserve">Thêm tài khoản (nhập PIN chủ), thử đặt mặc định, thử xóa tài khoản mặc định</t>
  </si>
  <si>
    <t xml:space="preserve">Tài khoản mới ở Chờ kết nối SePay. Chỉ đặt mặc định được khi đã kết nối. Mặc định không xóa được. QR luôn dùng tài khoản mặc định.</t>
  </si>
  <si>
    <t xml:space="preserve">CD-02</t>
  </si>
  <si>
    <t xml:space="preserve">Bảng giá: xem thử và lưu</t>
  </si>
  <si>
    <t xml:space="preserve">Đổi giá, xem thử, lưu</t>
  </si>
  <si>
    <t xml:space="preserve">Xem thử đổi theo giá nháp. Lưu xong chỉ áp dụng cho lượt nhận sau; lượt đang ở giữ giá cũ.</t>
  </si>
  <si>
    <t xml:space="preserve">CD-03</t>
  </si>
  <si>
    <t xml:space="preserve">Tòa, tầng, phòng</t>
  </si>
  <si>
    <t xml:space="preserve">Thêm phòng theo dải, thêm tầng, thêm tòa. Đổi loại một phòng có khách.</t>
  </si>
  <si>
    <t xml:space="preserve">Mã phòng tạo đúng. Phòng đang có khách không đổi loại hay xóa được.</t>
  </si>
  <si>
    <t xml:space="preserve">CD-04</t>
  </si>
  <si>
    <t xml:space="preserve">Mặt hàng và kho</t>
  </si>
  <si>
    <t xml:space="preserve">Thêm mặt hàng (giá, giá vốn, tồn đầu), nhập thêm, kiểm kho lệch, xóa mặt hàng đã bán</t>
  </si>
  <si>
    <t xml:space="preserve">Tồn đổi qua lịch sử. Kiểm kho lệch có cảnh báo. Mặt hàng đã bán chuyển Ngừng bán chứ không xóa hẳn.</t>
  </si>
  <si>
    <t xml:space="preserve">CD-05</t>
  </si>
  <si>
    <t xml:space="preserve">Nhân viên: chức vụ, quyền dùng app, hợp đồng</t>
  </si>
  <si>
    <t xml:space="preserve">Thêm bảo vệ (không đăng nhập) và một lễ tân</t>
  </si>
  <si>
    <t xml:space="preserve">Bảo vệ không có PIN. Lễ tân nhận PIN một lần, chỉ hiện một lần.</t>
  </si>
  <si>
    <t xml:space="preserve">CD-06</t>
  </si>
  <si>
    <t xml:space="preserve">Lương: nghỉ ốm có lương</t>
  </si>
  <si>
    <t xml:space="preserve">Lịch ca có một ngày nghỉ ốm và một ngày không lương, mở Bảng lương, bấm Đánh dấu đã trả tất cả</t>
  </si>
  <si>
    <t xml:space="preserve">Ốm tính như đã làm và không trừ ngày phép năm. Không lương không tính. Có khoản Lương nhân viên trong Chi phí.</t>
  </si>
  <si>
    <t xml:space="preserve">CD-07</t>
  </si>
  <si>
    <t xml:space="preserve">Lịch ca và xin nghỉ</t>
  </si>
  <si>
    <t xml:space="preserve">Nhân viên xin nghỉ. Chủ duyệt và từ chối. Nhân viên hủy yêu cầu đang chờ. Xin hủy nghỉ đã duyệt.</t>
  </si>
  <si>
    <t xml:space="preserve">Trạng thái đúng. Nghỉ đã duyệt cần chủ đồng ý mới hủy được. Ca thiếu người được cảnh báo.</t>
  </si>
  <si>
    <t xml:space="preserve">CD-08</t>
  </si>
  <si>
    <t xml:space="preserve">Chi phí</t>
  </si>
  <si>
    <t xml:space="preserve">Thêm chi phí thủ công. Thêm chi phí lặp hằng tháng.</t>
  </si>
  <si>
    <t xml:space="preserve">Chi phí lặp chỉ tạo một lần mỗi tháng. Dòng tự động (lương, bảo trì, kho) không sửa tay được.</t>
  </si>
  <si>
    <t xml:space="preserve">CD-09</t>
  </si>
  <si>
    <t xml:space="preserve">Báo cáo thu chi theo khoảng tháng</t>
  </si>
  <si>
    <t xml:space="preserve">Chọn từ tháng, đến tháng</t>
  </si>
  <si>
    <t xml:space="preserve">Doanh thu bằng tổng hóa đơn đã thanh toán. Chi phí bằng tổng các dòng chi. Khoản chi từ két của lễ tân không bị tính hai lần. Tổng theo cách thu bằng tổng doanh thu.</t>
  </si>
  <si>
    <t xml:space="preserve">CD-10</t>
  </si>
  <si>
    <t xml:space="preserve">Cài đặt tự xóa giấy tờ và số ngày lễ tân xem lịch sử</t>
  </si>
  <si>
    <t xml:space="preserve">Nhập 0, rồi 45, rồi 10</t>
  </si>
  <si>
    <t xml:space="preserve">0 bị từ chối. 45 và 10 lưu được và còn sau khi tải lại.</t>
  </si>
  <si>
    <t xml:space="preserve">BM-01</t>
  </si>
  <si>
    <t xml:space="preserve">Webhook không chữ ký bị từ chối</t>
  </si>
  <si>
    <t xml:space="preserve">curl -i -X POST https://&lt;tunnel&gt;/v1/webhooks/bank/&lt;hookId&gt; -H "Content-Type: application/json" -d "{}"</t>
  </si>
  <si>
    <t xml:space="preserve">401, không kèm chi tiết. Không ghi giao dịch.</t>
  </si>
  <si>
    <t xml:space="preserve">BM-02</t>
  </si>
  <si>
    <t xml:space="preserve">Mã hook sai</t>
  </si>
  <si>
    <t xml:space="preserve">Chạy lệnh trên với hookId sai</t>
  </si>
  <si>
    <t xml:space="preserve">404.</t>
  </si>
  <si>
    <t xml:space="preserve">BM-03</t>
  </si>
  <si>
    <t xml:space="preserve">Khóa SePay không xuất hiện trong log</t>
  </si>
  <si>
    <t xml:space="preserve">docker compose ... logs api jobs | grep -c whsec_</t>
  </si>
  <si>
    <t xml:space="preserve">Kết quả 0.</t>
  </si>
  <si>
    <t xml:space="preserve">BM-04</t>
  </si>
  <si>
    <t xml:space="preserve">Khai, SePay</t>
  </si>
  <si>
    <t xml:space="preserve">Webhook gửi lại muộn</t>
  </si>
  <si>
    <t xml:space="preserve">1) docker stop container api
2) Chờ khoảng 6 phút
3) Mô phỏng giao dịch
4) docker start
5) Xem Lịch sử gửi trong SePay</t>
  </si>
  <si>
    <t xml:space="preserve">Lần gửi lại được nhận (200). Nếu bị từ chối vì thời gian, nới SEPAY_TIMESTAMP_TOLERANCE theo runbook và ghi lại giá trị.</t>
  </si>
  <si>
    <t xml:space="preserve">SePay thử lại tối đa 7 lần trong khoảng 33 phút.
QA tự động: webhook ký lại, thời điểm 6 phút trước, gửi sau khi API khởi động lại bị từ chối 401 (quá 300 giây). SePay gửi lại thật vẫn cần thử tay.</t>
  </si>
  <si>
    <t xml:space="preserve">BM-05</t>
  </si>
  <si>
    <t xml:space="preserve">Bộ test webhook tự động</t>
  </si>
  <si>
    <t xml:space="preserve">make test-api-int</t>
  </si>
  <si>
    <t xml:space="preserve">Xanh. Gồm chữ ký, thời gian, chống trùng, giao dịch tiền ra.</t>
  </si>
  <si>
    <t xml:space="preserve">VH-01</t>
  </si>
  <si>
    <t xml:space="preserve">Sao lưu lên S3 thật</t>
  </si>
  <si>
    <t xml:space="preserve">EXTERNAL_S3=1 với bucket R2, B2 hoặc S3, chạy deploy/backup.sh</t>
  </si>
  <si>
    <t xml:space="preserve">File .dump có trong bucket. Khôi phục thử vào database tạm khớp số dòng.</t>
  </si>
  <si>
    <t xml:space="preserve">VH-02</t>
  </si>
  <si>
    <t xml:space="preserve">Job chạy mỗi 5 phút</t>
  </si>
  <si>
    <t xml:space="preserve">docker compose ... logs jobs</t>
  </si>
  <si>
    <t xml:space="preserve">Mỗi vòng in một dòng đếm cho từng job. Vòng lỗi vẫn chạy vòng sau.</t>
  </si>
  <si>
    <t xml:space="preserve">VH-03</t>
  </si>
  <si>
    <t xml:space="preserve">Đổi khóa mã hóa thì server từ chối khởi động</t>
  </si>
  <si>
    <t xml:space="preserve">CHỈ trên stack diễn tập: đổi DATA_ENCRYPTION_KEY, khởi động lại api</t>
  </si>
  <si>
    <t xml:space="preserve">Báo key fingerprint mismatch, không lộ khóa. Trả khóa cũ thì chạy lại.</t>
  </si>
  <si>
    <t xml:space="preserve">Không làm trên môi trường có dữ liệu thật.</t>
  </si>
  <si>
    <t xml:space="preserve">VH-04</t>
  </si>
  <si>
    <t xml:space="preserve">Bản production không có bộ chọn demo</t>
  </si>
  <si>
    <t xml:space="preserve">Mở trang đăng nhập của stack production</t>
  </si>
  <si>
    <t xml:space="preserve">Chỉ có form đăng nhập, không có Thử với vai trò.</t>
  </si>
  <si>
    <t xml:space="preserve">VH-05</t>
  </si>
  <si>
    <t xml:space="preserve">Sức khỏe dịch vụ</t>
  </si>
  <si>
    <t xml:space="preserve">GET /readyz; kiểm tra tài khoản database không phải superuser</t>
  </si>
  <si>
    <t xml:space="preserve">/readyz trả 200. Tài khoản ứng dụng không phải superuser.</t>
  </si>
  <si>
    <t xml:space="preserve">VH-06</t>
  </si>
  <si>
    <t xml:space="preserve">Khởi động lại vẫn đăng nhập được</t>
  </si>
  <si>
    <t xml:space="preserve">docker compose restart api, rồi đăng nhập bằng PIN đã đặt</t>
  </si>
  <si>
    <t xml:space="preserve">Đăng nhập được, không báo PIN không hợp lệ.</t>
  </si>
  <si>
    <t xml:space="preserve">VH-07</t>
  </si>
  <si>
    <t xml:space="preserve">Dọn sạch stack diễn tập</t>
  </si>
  <si>
    <t xml:space="preserve">make rehearse-down</t>
  </si>
  <si>
    <t xml:space="preserve">Container và volume của stayguard-rehearse bị xóa.</t>
  </si>
  <si>
    <t xml:space="preserve">GD-01</t>
  </si>
  <si>
    <t xml:space="preserve">Điện thoại thật: nhận phòng đến QR</t>
  </si>
  <si>
    <t xml:space="preserve">Dùng điện thoại qua tunnel, đi hết luồng nhận phòng, trả phòng, QR</t>
  </si>
  <si>
    <t xml:space="preserve">Dễ chạm, chữ không tràn nút, thanh tab dưới đúng. QR đủ lớn để quét.</t>
  </si>
  <si>
    <t xml:space="preserve">GD-02</t>
  </si>
  <si>
    <t xml:space="preserve">Điện thoại thật: Tổng quan và tab Thêm</t>
  </si>
  <si>
    <t xml:space="preserve">Mở Tổng quan, tab Thêm</t>
  </si>
  <si>
    <t xml:space="preserve">5 tab. Menu Thêm có đủ 5 nhóm. Chuông cảnh báo có số.</t>
  </si>
  <si>
    <t xml:space="preserve">GD-03</t>
  </si>
  <si>
    <t xml:space="preserve">Tablet 834 px</t>
  </si>
  <si>
    <t xml:space="preserve">Thu cửa sổ về 834 x 1194</t>
  </si>
  <si>
    <t xml:space="preserve">Thanh biểu tượng bên trái. Không cuộn ngang trang.</t>
  </si>
  <si>
    <t xml:space="preserve">GD-04</t>
  </si>
  <si>
    <t xml:space="preserve">Máy tính 1280 px</t>
  </si>
  <si>
    <t xml:space="preserve">Mở các trang bảng, nhất là Bảng lương</t>
  </si>
  <si>
    <t xml:space="preserve">Thanh bên có nhóm. Bảng rộng cuộn ngang trong thẻ, cột tên đứng yên.</t>
  </si>
  <si>
    <t xml:space="preserve">GD-05</t>
  </si>
  <si>
    <t xml:space="preserve">Giảm chuyển động</t>
  </si>
  <si>
    <t xml:space="preserve">Bật giảm chuyển động của hệ điều hành, mở QR và Đã thanh toán</t>
  </si>
  <si>
    <t xml:space="preserve">Mọi nội dung hiện đủ, chỉ còn hiệu ứng mờ dần.</t>
  </si>
  <si>
    <t xml:space="preserve">GD-06</t>
  </si>
  <si>
    <t xml:space="preserve">Tiếng Anh</t>
  </si>
  <si>
    <t xml:space="preserve">Đổi ngôn ngữ ở Tài khoản</t>
  </si>
  <si>
    <t xml:space="preserve">Mọi chữ chuyển đúng. Không lộ khóa dịch (ví dụ rooms.roleMANAGER).</t>
  </si>
  <si>
    <t xml:space="preserve">GD-07</t>
  </si>
  <si>
    <t xml:space="preserve">Mất mạng ở màn thanh toán</t>
  </si>
  <si>
    <t xml:space="preserve">Tắt mạng khi đang ở màn thanh toán, rồi bật lại</t>
  </si>
  <si>
    <t xml:space="preserve">Hiện trạng thái không có kết nối. Khi có mạng lại, thử lại không tạo giao dịch trùng.</t>
  </si>
  <si>
    <t xml:space="preserve">GL-01</t>
  </si>
  <si>
    <t xml:space="preserve">CI xanh trên main</t>
  </si>
  <si>
    <t xml:space="preserve">GitHub, Actions, lần chạy mới nhất</t>
  </si>
  <si>
    <t xml:space="preserve">Cả 8 kiểm tra xanh: checks, lint, contracts, licenses, secrets, test-api, test-api-int, test-web.</t>
  </si>
  <si>
    <t xml:space="preserve">GL-02</t>
  </si>
  <si>
    <t xml:space="preserve">Máy chủ, tên miền và HTTPS</t>
  </si>
  <si>
    <t xml:space="preserve">Làm theo deploy/README.md</t>
  </si>
  <si>
    <t xml:space="preserve">/readyz trả 200. Chứng chỉ HTTPS hợp lệ.</t>
  </si>
  <si>
    <t xml:space="preserve">Oracle Free hết máy ARM; dự phòng là VPS trả phí ở Singapore.</t>
  </si>
  <si>
    <t xml:space="preserve">GL-03</t>
  </si>
  <si>
    <t xml:space="preserve">Khóa mã hóa production lưu riêng</t>
  </si>
  <si>
    <t xml:space="preserve">Tạo khóa riêng cho production, lưu trong trình quản lý mật khẩu</t>
  </si>
  <si>
    <t xml:space="preserve">Khóa không nằm trong git và không nằm cùng bản sao lưu.</t>
  </si>
  <si>
    <t xml:space="preserve">GL-04</t>
  </si>
  <si>
    <t xml:space="preserve">Loại tài khoản ngân hàng của nhà nghỉ có bắt buộc VA không</t>
  </si>
  <si>
    <t xml:space="preserve">Hỏi chủ hoặc xem trang SePay của họ</t>
  </si>
  <si>
    <t xml:space="preserve">Nếu bắt buộc VA: đã có tính năng lưu VA, QR trỏ về VA, webhook khớp VA, và đã thử với dữ liệu VA. Nếu không: ghi Không bắt buộc VA.</t>
  </si>
  <si>
    <t xml:space="preserve">Test mode: Vietcombank hộ kinh doanh bắt buộc VA, QR hiện đang trỏ số tài khoản chính. Cần hỏi nhà nghỉ thật dùng loại tài khoản gì và xác nhận API-1 đã làm VA.</t>
  </si>
  <si>
    <t xml:space="preserve">GL-05</t>
  </si>
  <si>
    <t xml:space="preserve">Nhập nhà nghỉ thật</t>
  </si>
  <si>
    <t xml:space="preserve">stayguard tenant import --file &lt;file ngoài git&gt;, rồi xóa file</t>
  </si>
  <si>
    <t xml:space="preserve">Đủ nhà nghỉ, phòng, giá, dịch vụ, tài khoản, nhân viên. PIN một lần được in ra.</t>
  </si>
  <si>
    <t xml:space="preserve">GL-06</t>
  </si>
  <si>
    <t xml:space="preserve">SePay thật đứng tên chủ</t>
  </si>
  <si>
    <t xml:space="preserve">Làm theo docs/runbooks/sepay-handover.md</t>
  </si>
  <si>
    <t xml:space="preserve">sepay status: CONNECTED, chữ ký hợp lệ.</t>
  </si>
  <si>
    <t xml:space="preserve">GL-07</t>
  </si>
  <si>
    <t xml:space="preserve">Giao dịch thật 2.000đ</t>
  </si>
  <si>
    <t xml:space="preserve">Tạo phiếu 2.000đ, chuyển thật bằng app ngân hàng</t>
  </si>
  <si>
    <t xml:space="preserve">Phiếu tự Đã thanh toán. Tiền về tài khoản chủ.</t>
  </si>
  <si>
    <t xml:space="preserve">GL-08</t>
  </si>
  <si>
    <t xml:space="preserve">Quét QR bằng hai app ngân hàng khác nhau</t>
  </si>
  <si>
    <t xml:space="preserve">Quét QR phiếu thật</t>
  </si>
  <si>
    <t xml:space="preserve">Đúng tài khoản (hoặc VA), số tiền, nội dung.</t>
  </si>
  <si>
    <t xml:space="preserve">GL-09</t>
  </si>
  <si>
    <t xml:space="preserve">Nhân viên nhận PIN và đổi PIN</t>
  </si>
  <si>
    <t xml:space="preserve">Từng người đăng nhập và đặt PIN mới</t>
  </si>
  <si>
    <t xml:space="preserve">Mọi người đăng nhập được.</t>
  </si>
  <si>
    <t xml:space="preserve">GL-10</t>
  </si>
  <si>
    <t xml:space="preserve">Khai, Lễ tân</t>
  </si>
  <si>
    <t xml:space="preserve">Hướng dẫn lễ tân khoảng 15 phút</t>
  </si>
  <si>
    <t xml:space="preserve">Trên điện thoại của chính họ</t>
  </si>
  <si>
    <t xml:space="preserve">Họ tự làm một lượt nhận phòng, trả phòng, thu tiền, kết ca.</t>
  </si>
  <si>
    <t xml:space="preserve">GL-11</t>
  </si>
  <si>
    <t xml:space="preserve">Chốt thời hạn lưu CCCD và câu thông báo</t>
  </si>
  <si>
    <t xml:space="preserve">Hỏi công an phường hoặc người có chuyên môn</t>
  </si>
  <si>
    <t xml:space="preserve">Chốt số ngày tự xóa và nội dung thông báo cho khách.</t>
  </si>
  <si>
    <t xml:space="preserve">GL-12</t>
  </si>
  <si>
    <t xml:space="preserve">Sao lưu hằng ngày và đã khôi phục thử một lần</t>
  </si>
  <si>
    <t xml:space="preserve">Xem lịch chạy backup.sh trên máy chủ; chạy restore-rehearsal.sh một lần</t>
  </si>
  <si>
    <t xml:space="preserve">Có file mới mỗi ngày. Khôi phục thử khớp số dòng.</t>
  </si>
</sst>
</file>

<file path=xl/styles.xml><?xml version="1.0" encoding="utf-8"?>
<styleSheet xmlns="http://schemas.openxmlformats.org/spreadsheetml/2006/main">
  <numFmts count="4">
    <numFmt numFmtId="164" formatCode="General"/>
    <numFmt numFmtId="165" formatCode="General"/>
    <numFmt numFmtId="166" formatCode="0%"/>
    <numFmt numFmtId="167" formatCode="dd/mm/yyyy"/>
  </numFmts>
  <fonts count="10">
    <font>
      <sz val="11"/>
      <color theme="1"/>
      <name val="Calibri"/>
      <family val="2"/>
      <charset val="1"/>
    </font>
    <font>
      <sz val="10"/>
      <name val="Arial"/>
      <family val="0"/>
    </font>
    <font>
      <sz val="10"/>
      <name val="Arial"/>
      <family val="0"/>
    </font>
    <font>
      <sz val="10"/>
      <name val="Arial"/>
      <family val="0"/>
    </font>
    <font>
      <b val="true"/>
      <sz val="14"/>
      <color rgb="FF1F4E5F"/>
      <name val="Arial"/>
      <family val="0"/>
      <charset val="1"/>
    </font>
    <font>
      <i val="true"/>
      <sz val="9"/>
      <color rgb="FF5C5A55"/>
      <name val="Arial"/>
      <family val="0"/>
      <charset val="1"/>
    </font>
    <font>
      <b val="true"/>
      <sz val="11"/>
      <color rgb="FF1F4E5F"/>
      <name val="Arial"/>
      <family val="0"/>
      <charset val="1"/>
    </font>
    <font>
      <b val="true"/>
      <sz val="10"/>
      <color rgb="FF000000"/>
      <name val="Arial"/>
      <family val="0"/>
      <charset val="1"/>
    </font>
    <font>
      <sz val="10"/>
      <color rgb="FF000000"/>
      <name val="Arial"/>
      <family val="0"/>
      <charset val="1"/>
    </font>
    <font>
      <b val="true"/>
      <sz val="10"/>
      <color rgb="FFFFFFFF"/>
      <name val="Arial"/>
      <family val="0"/>
      <charset val="1"/>
    </font>
  </fonts>
  <fills count="12">
    <fill>
      <patternFill patternType="none"/>
    </fill>
    <fill>
      <patternFill patternType="gray125"/>
    </fill>
    <fill>
      <patternFill patternType="solid">
        <fgColor rgb="FF1F4E5F"/>
        <bgColor rgb="FF1F5A30"/>
      </patternFill>
    </fill>
    <fill>
      <patternFill patternType="solid">
        <fgColor rgb="FFE8EEF1"/>
        <bgColor rgb="FFE6ECF7"/>
      </patternFill>
    </fill>
    <fill>
      <patternFill patternType="solid">
        <fgColor rgb="FFE3F0E6"/>
        <bgColor rgb="FFE8EEF1"/>
      </patternFill>
    </fill>
    <fill>
      <patternFill patternType="solid">
        <fgColor rgb="FFFBF1D6"/>
        <bgColor rgb="FFFFFBE0"/>
      </patternFill>
    </fill>
    <fill>
      <patternFill patternType="solid">
        <fgColor rgb="FFE6ECF7"/>
        <bgColor rgb="FFE8EEF1"/>
      </patternFill>
    </fill>
    <fill>
      <patternFill patternType="solid">
        <fgColor rgb="FFF3E8E0"/>
        <bgColor rgb="FFECE9E2"/>
      </patternFill>
    </fill>
    <fill>
      <patternFill patternType="solid">
        <fgColor rgb="FFEFE6F3"/>
        <bgColor rgb="FFECE9E2"/>
      </patternFill>
    </fill>
    <fill>
      <patternFill patternType="solid">
        <fgColor rgb="FFFBE5E2"/>
        <bgColor rgb="FFF3E8E0"/>
      </patternFill>
    </fill>
    <fill>
      <patternFill patternType="solid">
        <fgColor rgb="FFECE9E2"/>
        <bgColor rgb="FFF3E8E0"/>
      </patternFill>
    </fill>
    <fill>
      <patternFill patternType="solid">
        <fgColor rgb="FFFFFBE0"/>
        <bgColor rgb="FFFBF1D6"/>
      </patternFill>
    </fill>
  </fills>
  <borders count="2">
    <border diagonalUp="false" diagonalDown="false">
      <left/>
      <right/>
      <top/>
      <bottom/>
      <diagonal/>
    </border>
    <border diagonalUp="false" diagonalDown="false">
      <left style="thin">
        <color rgb="FFD9D5CC"/>
      </left>
      <right style="thin">
        <color rgb="FFD9D5CC"/>
      </right>
      <top style="thin">
        <color rgb="FFD9D5CC"/>
      </top>
      <bottom style="thin">
        <color rgb="FFD9D5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9" fillId="2" borderId="1" xfId="0" applyFont="true" applyBorder="true" applyAlignment="true" applyProtection="false">
      <alignment horizontal="center" vertical="center" textRotation="0" wrapText="false" indent="0" shrinkToFit="false"/>
      <protection locked="true" hidden="false"/>
    </xf>
    <xf numFmtId="164" fontId="8" fillId="3" borderId="1" xfId="0" applyFont="true" applyBorder="true" applyAlignment="true" applyProtection="false">
      <alignment horizontal="left" vertical="bottom" textRotation="0" wrapText="false" indent="0" shrinkToFit="false"/>
      <protection locked="true" hidden="false"/>
    </xf>
    <xf numFmtId="165" fontId="8" fillId="0" borderId="1" xfId="0" applyFont="true" applyBorder="true" applyAlignment="true" applyProtection="false">
      <alignment horizontal="center" vertical="bottom" textRotation="0" wrapText="false" indent="0" shrinkToFit="false"/>
      <protection locked="true" hidden="false"/>
    </xf>
    <xf numFmtId="166" fontId="8" fillId="0" borderId="1" xfId="0" applyFont="true" applyBorder="true" applyAlignment="true" applyProtection="false">
      <alignment horizontal="center" vertical="bottom" textRotation="0" wrapText="false" indent="0" shrinkToFit="false"/>
      <protection locked="true" hidden="false"/>
    </xf>
    <xf numFmtId="164" fontId="8" fillId="4" borderId="1" xfId="0" applyFont="true" applyBorder="true" applyAlignment="true" applyProtection="false">
      <alignment horizontal="left" vertical="bottom" textRotation="0" wrapText="false" indent="0" shrinkToFit="false"/>
      <protection locked="true" hidden="false"/>
    </xf>
    <xf numFmtId="164" fontId="8" fillId="5" borderId="1" xfId="0" applyFont="true" applyBorder="true" applyAlignment="true" applyProtection="false">
      <alignment horizontal="left" vertical="bottom" textRotation="0" wrapText="false" indent="0" shrinkToFit="false"/>
      <protection locked="true" hidden="false"/>
    </xf>
    <xf numFmtId="164" fontId="8" fillId="6" borderId="1" xfId="0" applyFont="true" applyBorder="true" applyAlignment="true" applyProtection="false">
      <alignment horizontal="left" vertical="bottom" textRotation="0" wrapText="false" indent="0" shrinkToFit="false"/>
      <protection locked="true" hidden="false"/>
    </xf>
    <xf numFmtId="164" fontId="8" fillId="7" borderId="1" xfId="0" applyFont="true" applyBorder="true" applyAlignment="true" applyProtection="false">
      <alignment horizontal="left" vertical="bottom" textRotation="0" wrapText="false" indent="0" shrinkToFit="false"/>
      <protection locked="true" hidden="false"/>
    </xf>
    <xf numFmtId="164" fontId="8" fillId="8" borderId="1" xfId="0" applyFont="true" applyBorder="true" applyAlignment="true" applyProtection="false">
      <alignment horizontal="left" vertical="bottom" textRotation="0" wrapText="false" indent="0" shrinkToFit="false"/>
      <protection locked="true" hidden="false"/>
    </xf>
    <xf numFmtId="164" fontId="8" fillId="9" borderId="1" xfId="0" applyFont="true" applyBorder="true" applyAlignment="true" applyProtection="false">
      <alignment horizontal="left" vertical="bottom" textRotation="0" wrapText="false" indent="0" shrinkToFit="false"/>
      <protection locked="true" hidden="false"/>
    </xf>
    <xf numFmtId="164" fontId="7" fillId="10" borderId="1" xfId="0" applyFont="true" applyBorder="true" applyAlignment="true" applyProtection="false">
      <alignment horizontal="left" vertical="bottom" textRotation="0" wrapText="false" indent="0" shrinkToFit="false"/>
      <protection locked="true" hidden="false"/>
    </xf>
    <xf numFmtId="165" fontId="7" fillId="10" borderId="1" xfId="0" applyFont="true" applyBorder="true" applyAlignment="true" applyProtection="false">
      <alignment horizontal="center" vertical="bottom" textRotation="0" wrapText="false" indent="0" shrinkToFit="false"/>
      <protection locked="true" hidden="false"/>
    </xf>
    <xf numFmtId="166" fontId="7" fillId="10" borderId="1" xfId="0" applyFont="true" applyBorder="true" applyAlignment="true" applyProtection="false">
      <alignment horizontal="center" vertical="bottom" textRotation="0" wrapText="false" indent="0" shrinkToFit="false"/>
      <protection locked="true" hidden="false"/>
    </xf>
    <xf numFmtId="164" fontId="8" fillId="0" borderId="1" xfId="0" applyFont="true" applyBorder="true" applyAlignment="true" applyProtection="false">
      <alignment horizontal="general" vertical="bottom" textRotation="0" wrapText="false" indent="0" shrinkToFit="false"/>
      <protection locked="true" hidden="false"/>
    </xf>
    <xf numFmtId="165" fontId="7" fillId="0"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top" textRotation="0" wrapText="true" indent="0" shrinkToFit="false"/>
      <protection locked="true" hidden="false"/>
    </xf>
    <xf numFmtId="164" fontId="8" fillId="3" borderId="1" xfId="0" applyFont="true" applyBorder="true" applyAlignment="true" applyProtection="false">
      <alignment horizontal="left" vertical="top" textRotation="0" wrapText="tru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8" fillId="0" borderId="1" xfId="0" applyFont="true" applyBorder="true" applyAlignment="true" applyProtection="false">
      <alignment horizontal="center" vertical="top" textRotation="0" wrapText="true" indent="0" shrinkToFit="false"/>
      <protection locked="true" hidden="false"/>
    </xf>
    <xf numFmtId="164" fontId="8" fillId="11" borderId="1" xfId="0" applyFont="true" applyBorder="true" applyAlignment="true" applyProtection="false">
      <alignment horizontal="center" vertical="top" textRotation="0" wrapText="true" indent="0" shrinkToFit="false"/>
      <protection locked="true" hidden="false"/>
    </xf>
    <xf numFmtId="167" fontId="8" fillId="11" borderId="1" xfId="0" applyFont="true" applyBorder="true" applyAlignment="true" applyProtection="false">
      <alignment horizontal="center" vertical="top" textRotation="0" wrapText="true" indent="0" shrinkToFit="false"/>
      <protection locked="true" hidden="false"/>
    </xf>
    <xf numFmtId="164" fontId="8" fillId="11" borderId="1" xfId="0" applyFont="true" applyBorder="true" applyAlignment="true" applyProtection="false">
      <alignment horizontal="left" vertical="top" textRotation="0" wrapText="true" indent="0" shrinkToFit="false"/>
      <protection locked="true" hidden="false"/>
    </xf>
    <xf numFmtId="164" fontId="8" fillId="4" borderId="1" xfId="0" applyFont="true" applyBorder="true" applyAlignment="true" applyProtection="false">
      <alignment horizontal="left" vertical="top" textRotation="0" wrapText="true" indent="0" shrinkToFit="false"/>
      <protection locked="true" hidden="false"/>
    </xf>
    <xf numFmtId="164" fontId="8" fillId="5" borderId="1" xfId="0" applyFont="true" applyBorder="true" applyAlignment="true" applyProtection="false">
      <alignment horizontal="left" vertical="top" textRotation="0" wrapText="true" indent="0" shrinkToFit="false"/>
      <protection locked="true" hidden="false"/>
    </xf>
    <xf numFmtId="164" fontId="8" fillId="6" borderId="1" xfId="0" applyFont="true" applyBorder="true" applyAlignment="true" applyProtection="false">
      <alignment horizontal="left" vertical="top" textRotation="0" wrapText="true" indent="0" shrinkToFit="false"/>
      <protection locked="true" hidden="false"/>
    </xf>
    <xf numFmtId="164" fontId="8" fillId="7" borderId="1" xfId="0" applyFont="true" applyBorder="true" applyAlignment="true" applyProtection="false">
      <alignment horizontal="left" vertical="top" textRotation="0" wrapText="true" indent="0" shrinkToFit="false"/>
      <protection locked="true" hidden="false"/>
    </xf>
    <xf numFmtId="164" fontId="8" fillId="8" borderId="1" xfId="0" applyFont="true" applyBorder="true" applyAlignment="true" applyProtection="false">
      <alignment horizontal="left" vertical="top" textRotation="0" wrapText="true" indent="0" shrinkToFit="false"/>
      <protection locked="true" hidden="false"/>
    </xf>
    <xf numFmtId="164" fontId="8" fillId="9"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3">
    <dxf>
      <font>
        <name val="Arial"/>
        <charset val="1"/>
        <family val="0"/>
        <b val="1"/>
        <color rgb="FF8E2320"/>
      </font>
      <fill>
        <patternFill>
          <bgColor rgb="FFF5C2BD"/>
        </patternFill>
      </fill>
    </dxf>
    <dxf>
      <font>
        <name val="Arial"/>
        <charset val="1"/>
        <family val="0"/>
        <b val="1"/>
        <color rgb="FF7A5A00"/>
      </font>
      <fill>
        <patternFill>
          <bgColor rgb="FFFBE9B0"/>
        </patternFill>
      </fill>
    </dxf>
    <dxf>
      <font>
        <name val="Arial"/>
        <charset val="1"/>
        <family val="0"/>
        <b val="1"/>
        <color rgb="FF1F5A30"/>
      </font>
      <fill>
        <patternFill>
          <bgColor rgb="FFC6E8CD"/>
        </patternFill>
      </fill>
    </dxf>
    <dxf>
      <fill>
        <patternFill patternType="solid">
          <fgColor rgb="FF1F4E5F"/>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E3F0E6"/>
          <bgColor rgb="FF000000"/>
        </patternFill>
      </fill>
    </dxf>
    <dxf>
      <fill>
        <patternFill patternType="solid">
          <fgColor rgb="FFE6ECF7"/>
          <bgColor rgb="FF000000"/>
        </patternFill>
      </fill>
    </dxf>
    <dxf>
      <fill>
        <patternFill patternType="solid">
          <fgColor rgb="FFE8EEF1"/>
          <bgColor rgb="FF000000"/>
        </patternFill>
      </fill>
    </dxf>
    <dxf>
      <fill>
        <patternFill patternType="solid">
          <fgColor rgb="FFEFE6F3"/>
          <bgColor rgb="FF000000"/>
        </patternFill>
      </fill>
    </dxf>
    <dxf>
      <fill>
        <patternFill patternType="solid">
          <fgColor rgb="FFF3E8E0"/>
          <bgColor rgb="FF000000"/>
        </patternFill>
      </fill>
    </dxf>
    <dxf>
      <fill>
        <patternFill patternType="solid">
          <fgColor rgb="FFFBE5E2"/>
          <bgColor rgb="FF000000"/>
        </patternFill>
      </fill>
    </dxf>
    <dxf>
      <fill>
        <patternFill patternType="solid">
          <fgColor rgb="FFFBF1D6"/>
          <bgColor rgb="FF000000"/>
        </patternFill>
      </fill>
    </dxf>
    <dxf>
      <fill>
        <patternFill patternType="solid">
          <fgColor rgb="FF8E2320"/>
          <bgColor rgb="FF000000"/>
        </patternFill>
      </fill>
    </dxf>
    <dxf>
      <fill>
        <patternFill patternType="solid">
          <fgColor rgb="FFC6E8CD"/>
          <bgColor rgb="FF000000"/>
        </patternFill>
      </fill>
    </dxf>
    <dxf>
      <fill>
        <patternFill patternType="solid">
          <fgColor rgb="FFF5C2BD"/>
          <bgColor rgb="FF000000"/>
        </patternFill>
      </fill>
    </dxf>
    <dxf>
      <fill>
        <patternFill patternType="solid">
          <fgColor rgb="FFFBE9B0"/>
          <bgColor rgb="FF000000"/>
        </patternFill>
      </fill>
    </dxf>
    <dxf>
      <fill>
        <patternFill patternType="solid">
          <fgColor rgb="FFFFFBE0"/>
          <bgColor rgb="FF000000"/>
        </patternFill>
      </fill>
    </dxf>
    <dxf>
      <fill>
        <patternFill patternType="solid">
          <fgColor rgb="FF1F5A30"/>
          <bgColor rgb="FF000000"/>
        </patternFill>
      </fill>
    </dxf>
    <dxf>
      <fill>
        <patternFill patternType="solid">
          <fgColor rgb="FF7A5A00"/>
          <bgColor rgb="FF000000"/>
        </patternFill>
      </fill>
    </dxf>
    <dxf>
      <font>
        <name val="Arial"/>
        <charset val="1"/>
        <family val="0"/>
        <color rgb="FF5C5A55"/>
      </font>
      <fill>
        <patternFill>
          <bgColor rgb="FFE0DED8"/>
        </patternFill>
      </fill>
    </dxf>
    <dxf>
      <font>
        <name val="Arial"/>
        <charset val="1"/>
        <family val="0"/>
        <b val="1"/>
        <color rgb="FF8E2320"/>
      </font>
    </dxf>
  </dxfs>
  <colors>
    <indexedColors>
      <rgbColor rgb="FF000000"/>
      <rgbColor rgb="FFFFFFFF"/>
      <rgbColor rgb="FFFF0000"/>
      <rgbColor rgb="FF00FF00"/>
      <rgbColor rgb="FF0000FF"/>
      <rgbColor rgb="FFFBF1D6"/>
      <rgbColor rgb="FFFF00FF"/>
      <rgbColor rgb="FF00FFFF"/>
      <rgbColor rgb="FF800000"/>
      <rgbColor rgb="FF008000"/>
      <rgbColor rgb="FF000080"/>
      <rgbColor rgb="FF7A5A00"/>
      <rgbColor rgb="FF800080"/>
      <rgbColor rgb="FF008080"/>
      <rgbColor rgb="FFE0DED8"/>
      <rgbColor rgb="FF808080"/>
      <rgbColor rgb="FFECE9E2"/>
      <rgbColor rgb="FF993366"/>
      <rgbColor rgb="FFFFFBE0"/>
      <rgbColor rgb="FFE3F0E6"/>
      <rgbColor rgb="FF660066"/>
      <rgbColor rgb="FFFF8080"/>
      <rgbColor rgb="FF0066CC"/>
      <rgbColor rgb="FFD9D5CC"/>
      <rgbColor rgb="FF000080"/>
      <rgbColor rgb="FFFF00FF"/>
      <rgbColor rgb="FFF3E8E0"/>
      <rgbColor rgb="FF00FFFF"/>
      <rgbColor rgb="FF800080"/>
      <rgbColor rgb="FF800000"/>
      <rgbColor rgb="FF008080"/>
      <rgbColor rgb="FF0000FF"/>
      <rgbColor rgb="FF00CCFF"/>
      <rgbColor rgb="FFE6ECF7"/>
      <rgbColor rgb="FFC6E8CD"/>
      <rgbColor rgb="FFFBE9B0"/>
      <rgbColor rgb="FFE8EEF1"/>
      <rgbColor rgb="FFFBE5E2"/>
      <rgbColor rgb="FFEFE6F3"/>
      <rgbColor rgb="FFF5C2BD"/>
      <rgbColor rgb="FF3366FF"/>
      <rgbColor rgb="FF33CCCC"/>
      <rgbColor rgb="FF99CC00"/>
      <rgbColor rgb="FFFFCC00"/>
      <rgbColor rgb="FFFF9900"/>
      <rgbColor rgb="FFFF6600"/>
      <rgbColor rgb="FF5C5A55"/>
      <rgbColor rgb="FF969696"/>
      <rgbColor rgb="FF1F4E5F"/>
      <rgbColor rgb="FF339966"/>
      <rgbColor rgb="FF003300"/>
      <rgbColor rgb="FF333300"/>
      <rgbColor rgb="FF8E2320"/>
      <rgbColor rgb="FF993366"/>
      <rgbColor rgb="FF333399"/>
      <rgbColor rgb="FF1F5A3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78"/>
    <col collapsed="false" customWidth="true" hidden="false" outlineLevel="0" max="3" min="3" style="1" width="16"/>
  </cols>
  <sheetData>
    <row r="1" customFormat="false" ht="17.25" hidden="false" customHeight="true" outlineLevel="0" collapsed="false">
      <c r="A1" s="2" t="s">
        <v>0</v>
      </c>
    </row>
    <row r="2" customFormat="false" ht="15" hidden="false" customHeight="true" outlineLevel="0" collapsed="false">
      <c r="A2" s="3" t="s">
        <v>1</v>
      </c>
    </row>
    <row r="4" customFormat="false" ht="15" hidden="false" customHeight="true" outlineLevel="0" collapsed="false">
      <c r="A4" s="4" t="s">
        <v>2</v>
      </c>
    </row>
    <row r="5" customFormat="false" ht="23.25" hidden="false" customHeight="true" outlineLevel="0" collapsed="false">
      <c r="A5" s="5" t="s">
        <v>3</v>
      </c>
      <c r="B5" s="6" t="s">
        <v>4</v>
      </c>
    </row>
    <row r="6" customFormat="false" ht="23.25" hidden="false" customHeight="true" outlineLevel="0" collapsed="false">
      <c r="A6" s="5" t="s">
        <v>5</v>
      </c>
      <c r="B6" s="6" t="s">
        <v>6</v>
      </c>
    </row>
    <row r="7" customFormat="false" ht="23.25" hidden="false" customHeight="true" outlineLevel="0" collapsed="false">
      <c r="A7" s="5" t="s">
        <v>7</v>
      </c>
      <c r="B7" s="6" t="s">
        <v>8</v>
      </c>
    </row>
    <row r="8" customFormat="false" ht="23.25" hidden="false" customHeight="true" outlineLevel="0" collapsed="false">
      <c r="A8" s="5" t="s">
        <v>9</v>
      </c>
      <c r="B8" s="6" t="s">
        <v>10</v>
      </c>
    </row>
    <row r="10" customFormat="false" ht="15" hidden="false" customHeight="true" outlineLevel="0" collapsed="false">
      <c r="A10" s="4" t="s">
        <v>11</v>
      </c>
    </row>
    <row r="11" customFormat="false" ht="15" hidden="false" customHeight="true" outlineLevel="0" collapsed="false">
      <c r="A11" s="5" t="s">
        <v>5</v>
      </c>
      <c r="B11" s="6" t="s">
        <v>12</v>
      </c>
    </row>
    <row r="12" customFormat="false" ht="15" hidden="false" customHeight="true" outlineLevel="0" collapsed="false">
      <c r="A12" s="5" t="s">
        <v>13</v>
      </c>
      <c r="B12" s="6" t="s">
        <v>14</v>
      </c>
    </row>
    <row r="13" customFormat="false" ht="15" hidden="false" customHeight="true" outlineLevel="0" collapsed="false">
      <c r="A13" s="5" t="s">
        <v>15</v>
      </c>
      <c r="B13" s="6" t="s">
        <v>16</v>
      </c>
    </row>
    <row r="15" customFormat="false" ht="15" hidden="false" customHeight="true" outlineLevel="0" collapsed="false">
      <c r="A15" s="4" t="s">
        <v>17</v>
      </c>
    </row>
    <row r="16" customFormat="false" ht="15" hidden="false" customHeight="true" outlineLevel="0" collapsed="false">
      <c r="A16" s="5" t="s">
        <v>18</v>
      </c>
      <c r="B16" s="6" t="s">
        <v>19</v>
      </c>
    </row>
    <row r="17" customFormat="false" ht="23.25" hidden="false" customHeight="true" outlineLevel="0" collapsed="false">
      <c r="A17" s="5" t="s">
        <v>20</v>
      </c>
      <c r="B17" s="6" t="s">
        <v>21</v>
      </c>
    </row>
    <row r="18" customFormat="false" ht="23.25" hidden="false" customHeight="true" outlineLevel="0" collapsed="false">
      <c r="A18" s="5" t="s">
        <v>22</v>
      </c>
      <c r="B18" s="6" t="s">
        <v>23</v>
      </c>
    </row>
    <row r="19" customFormat="false" ht="23.25" hidden="false" customHeight="true" outlineLevel="0" collapsed="false">
      <c r="A19" s="5" t="s">
        <v>24</v>
      </c>
      <c r="B19" s="6" t="s">
        <v>25</v>
      </c>
    </row>
    <row r="20" customFormat="false" ht="15" hidden="false" customHeight="true" outlineLevel="0" collapsed="false">
      <c r="A20" s="5" t="s">
        <v>26</v>
      </c>
      <c r="B20" s="6" t="s">
        <v>27</v>
      </c>
    </row>
    <row r="21" customFormat="false" ht="23.25" hidden="false" customHeight="true" outlineLevel="0" collapsed="false">
      <c r="A21" s="5" t="s">
        <v>28</v>
      </c>
      <c r="B21" s="6" t="s">
        <v>29</v>
      </c>
    </row>
    <row r="22" customFormat="false" ht="15" hidden="false" customHeight="true" outlineLevel="0" collapsed="false">
      <c r="A22" s="4" t="s">
        <v>30</v>
      </c>
    </row>
    <row r="23" customFormat="false" ht="15" hidden="false" customHeight="true" outlineLevel="0" collapsed="false">
      <c r="A23" s="5" t="s">
        <v>31</v>
      </c>
      <c r="B23" s="6" t="s">
        <v>32</v>
      </c>
    </row>
    <row r="24" customFormat="false" ht="15" hidden="false" customHeight="true" outlineLevel="0" collapsed="false">
      <c r="A24" s="5" t="s">
        <v>33</v>
      </c>
      <c r="B24" s="6" t="s">
        <v>34</v>
      </c>
    </row>
    <row r="25" customFormat="false" ht="23.25" hidden="false" customHeight="true" outlineLevel="0" collapsed="false">
      <c r="A25" s="5" t="s">
        <v>35</v>
      </c>
      <c r="B25" s="6" t="s">
        <v>36</v>
      </c>
    </row>
    <row r="26" customFormat="false" ht="23.25" hidden="false" customHeight="true" outlineLevel="0" collapsed="false">
      <c r="A26" s="5" t="s">
        <v>37</v>
      </c>
      <c r="B26" s="6" t="s">
        <v>38</v>
      </c>
    </row>
    <row r="28" customFormat="false" ht="15" hidden="false" customHeight="true" outlineLevel="0" collapsed="false">
      <c r="A28" s="4" t="s">
        <v>39</v>
      </c>
    </row>
    <row r="29" customFormat="false" ht="15" hidden="false" customHeight="true" outlineLevel="0" collapsed="false">
      <c r="A29" s="5" t="s">
        <v>40</v>
      </c>
      <c r="B29" s="6" t="s">
        <v>41</v>
      </c>
    </row>
    <row r="30" customFormat="false" ht="15" hidden="false" customHeight="true" outlineLevel="0" collapsed="false">
      <c r="A30" s="5" t="s">
        <v>42</v>
      </c>
      <c r="B30" s="6" t="s">
        <v>43</v>
      </c>
    </row>
    <row r="31" customFormat="false" ht="15" hidden="false" customHeight="true" outlineLevel="0" collapsed="false">
      <c r="A31" s="5" t="s">
        <v>44</v>
      </c>
      <c r="B31" s="6" t="s">
        <v>45</v>
      </c>
    </row>
    <row r="32" customFormat="false" ht="15" hidden="false" customHeight="true" outlineLevel="0" collapsed="false">
      <c r="A32" s="5" t="s">
        <v>46</v>
      </c>
      <c r="B32" s="6" t="s">
        <v>47</v>
      </c>
    </row>
    <row r="33" customFormat="false" ht="15" hidden="false" customHeight="true" outlineLevel="0" collapsed="false">
      <c r="A33" s="5" t="s">
        <v>48</v>
      </c>
      <c r="B33" s="6" t="s">
        <v>49</v>
      </c>
    </row>
    <row r="34" customFormat="false" ht="23.25" hidden="false" customHeight="true" outlineLevel="0" collapsed="false">
      <c r="A34" s="5" t="s">
        <v>50</v>
      </c>
      <c r="B34" s="6" t="s">
        <v>51</v>
      </c>
    </row>
    <row r="35" customFormat="false" ht="15" hidden="false" customHeight="true" outlineLevel="0" collapsed="false">
      <c r="A35" s="5" t="s">
        <v>52</v>
      </c>
      <c r="B35" s="6" t="s">
        <v>53</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6"/>
    <col collapsed="false" customWidth="true" hidden="false" outlineLevel="0" max="4" min="2" style="1" width="10"/>
    <col collapsed="false" customWidth="true" hidden="false" outlineLevel="0" max="5" min="5" style="1" width="13"/>
    <col collapsed="false" customWidth="true" hidden="false" outlineLevel="0" max="6" min="6" style="1" width="10"/>
    <col collapsed="false" customWidth="true" hidden="false" outlineLevel="0" max="7" min="7" style="1" width="11"/>
    <col collapsed="false" customWidth="true" hidden="false" outlineLevel="0" max="8" min="8" style="1" width="13"/>
  </cols>
  <sheetData>
    <row r="1" customFormat="false" ht="17.25" hidden="false" customHeight="true" outlineLevel="0" collapsed="false">
      <c r="A1" s="2" t="s">
        <v>54</v>
      </c>
    </row>
    <row r="2" customFormat="false" ht="15" hidden="false" customHeight="true" outlineLevel="0" collapsed="false">
      <c r="A2" s="3" t="s">
        <v>55</v>
      </c>
    </row>
    <row r="4" customFormat="false" ht="15" hidden="false" customHeight="true" outlineLevel="0" collapsed="false">
      <c r="A4" s="7" t="s">
        <v>56</v>
      </c>
      <c r="B4" s="7" t="s">
        <v>57</v>
      </c>
      <c r="C4" s="7" t="s">
        <v>12</v>
      </c>
      <c r="D4" s="7" t="s">
        <v>58</v>
      </c>
      <c r="E4" s="7" t="s">
        <v>59</v>
      </c>
      <c r="F4" s="7" t="s">
        <v>60</v>
      </c>
      <c r="G4" s="7" t="s">
        <v>61</v>
      </c>
      <c r="H4" s="7" t="s">
        <v>62</v>
      </c>
    </row>
    <row r="5" customFormat="false" ht="15" hidden="false" customHeight="true" outlineLevel="0" collapsed="false">
      <c r="A5" s="8" t="s">
        <v>63</v>
      </c>
      <c r="B5" s="9" t="n">
        <f aca="false">COUNTIF(Checklist!$B$2:$B$300,$A5)</f>
        <v>11</v>
      </c>
      <c r="C5" s="9" t="n">
        <f aca="false">COUNTIFS(Checklist!$B$2:$B$300,$A5,Checklist!$H$2:$H$300,"Đạt")</f>
        <v>5</v>
      </c>
      <c r="D5" s="9" t="n">
        <f aca="false">COUNTIFS(Checklist!$B$2:$B$300,$A5,Checklist!$H$2:$H$300,"Lỗi")</f>
        <v>0</v>
      </c>
      <c r="E5" s="9" t="n">
        <f aca="false">COUNTIFS(Checklist!$B$2:$B$300,$A5,Checklist!$H$2:$H$300,"Chờ thử lại")</f>
        <v>0</v>
      </c>
      <c r="F5" s="9" t="n">
        <f aca="false">COUNTIFS(Checklist!$B$2:$B$300,$A5,Checklist!$H$2:$H$300,"Bỏ qua")</f>
        <v>0</v>
      </c>
      <c r="G5" s="9" t="n">
        <f aca="false">B5-C5-D5-E5-F5</f>
        <v>6</v>
      </c>
      <c r="H5" s="10" t="n">
        <f aca="false">IFERROR(C5/(B5-F5),0)</f>
        <v>0.454545454545455</v>
      </c>
    </row>
    <row r="6" customFormat="false" ht="15" hidden="false" customHeight="true" outlineLevel="0" collapsed="false">
      <c r="A6" s="11" t="s">
        <v>64</v>
      </c>
      <c r="B6" s="9" t="n">
        <f aca="false">COUNTIF(Checklist!$B$2:$B$300,$A6)</f>
        <v>29</v>
      </c>
      <c r="C6" s="9" t="n">
        <f aca="false">COUNTIFS(Checklist!$B$2:$B$300,$A6,Checklist!$H$2:$H$300,"Đạt")</f>
        <v>8</v>
      </c>
      <c r="D6" s="9" t="n">
        <f aca="false">COUNTIFS(Checklist!$B$2:$B$300,$A6,Checklist!$H$2:$H$300,"Lỗi")</f>
        <v>1</v>
      </c>
      <c r="E6" s="9" t="n">
        <f aca="false">COUNTIFS(Checklist!$B$2:$B$300,$A6,Checklist!$H$2:$H$300,"Chờ thử lại")</f>
        <v>8</v>
      </c>
      <c r="F6" s="9" t="n">
        <f aca="false">COUNTIFS(Checklist!$B$2:$B$300,$A6,Checklist!$H$2:$H$300,"Bỏ qua")</f>
        <v>0</v>
      </c>
      <c r="G6" s="9" t="n">
        <f aca="false">B6-C6-D6-E6-F6</f>
        <v>12</v>
      </c>
      <c r="H6" s="10" t="n">
        <f aca="false">IFERROR(C6/(B6-F6),0)</f>
        <v>0.275862068965517</v>
      </c>
    </row>
    <row r="7" customFormat="false" ht="15" hidden="false" customHeight="true" outlineLevel="0" collapsed="false">
      <c r="A7" s="12" t="s">
        <v>65</v>
      </c>
      <c r="B7" s="9" t="n">
        <f aca="false">COUNTIF(Checklist!$B$2:$B$300,$A7)</f>
        <v>11</v>
      </c>
      <c r="C7" s="9" t="n">
        <f aca="false">COUNTIFS(Checklist!$B$2:$B$300,$A7,Checklist!$H$2:$H$300,"Đạt")</f>
        <v>1</v>
      </c>
      <c r="D7" s="9" t="n">
        <f aca="false">COUNTIFS(Checklist!$B$2:$B$300,$A7,Checklist!$H$2:$H$300,"Lỗi")</f>
        <v>0</v>
      </c>
      <c r="E7" s="9" t="n">
        <f aca="false">COUNTIFS(Checklist!$B$2:$B$300,$A7,Checklist!$H$2:$H$300,"Chờ thử lại")</f>
        <v>2</v>
      </c>
      <c r="F7" s="9" t="n">
        <f aca="false">COUNTIFS(Checklist!$B$2:$B$300,$A7,Checklist!$H$2:$H$300,"Bỏ qua")</f>
        <v>0</v>
      </c>
      <c r="G7" s="9" t="n">
        <f aca="false">B7-C7-D7-E7-F7</f>
        <v>8</v>
      </c>
      <c r="H7" s="10" t="n">
        <f aca="false">IFERROR(C7/(B7-F7),0)</f>
        <v>0.0909090909090909</v>
      </c>
    </row>
    <row r="8" customFormat="false" ht="15" hidden="false" customHeight="true" outlineLevel="0" collapsed="false">
      <c r="A8" s="13" t="s">
        <v>66</v>
      </c>
      <c r="B8" s="9" t="n">
        <f aca="false">COUNTIF(Checklist!$B$2:$B$300,$A8)</f>
        <v>10</v>
      </c>
      <c r="C8" s="9" t="n">
        <f aca="false">COUNTIFS(Checklist!$B$2:$B$300,$A8,Checklist!$H$2:$H$300,"Đạt")</f>
        <v>3</v>
      </c>
      <c r="D8" s="9" t="n">
        <f aca="false">COUNTIFS(Checklist!$B$2:$B$300,$A8,Checklist!$H$2:$H$300,"Lỗi")</f>
        <v>0</v>
      </c>
      <c r="E8" s="9" t="n">
        <f aca="false">COUNTIFS(Checklist!$B$2:$B$300,$A8,Checklist!$H$2:$H$300,"Chờ thử lại")</f>
        <v>0</v>
      </c>
      <c r="F8" s="9" t="n">
        <f aca="false">COUNTIFS(Checklist!$B$2:$B$300,$A8,Checklist!$H$2:$H$300,"Bỏ qua")</f>
        <v>0</v>
      </c>
      <c r="G8" s="9" t="n">
        <f aca="false">B8-C8-D8-E8-F8</f>
        <v>7</v>
      </c>
      <c r="H8" s="10" t="n">
        <f aca="false">IFERROR(C8/(B8-F8),0)</f>
        <v>0.3</v>
      </c>
    </row>
    <row r="9" customFormat="false" ht="15" hidden="false" customHeight="true" outlineLevel="0" collapsed="false">
      <c r="A9" s="14" t="s">
        <v>67</v>
      </c>
      <c r="B9" s="9" t="n">
        <f aca="false">COUNTIF(Checklist!$B$2:$B$300,$A9)</f>
        <v>9</v>
      </c>
      <c r="C9" s="9" t="n">
        <f aca="false">COUNTIFS(Checklist!$B$2:$B$300,$A9,Checklist!$H$2:$H$300,"Đạt")</f>
        <v>0</v>
      </c>
      <c r="D9" s="9" t="n">
        <f aca="false">COUNTIFS(Checklist!$B$2:$B$300,$A9,Checklist!$H$2:$H$300,"Lỗi")</f>
        <v>0</v>
      </c>
      <c r="E9" s="9" t="n">
        <f aca="false">COUNTIFS(Checklist!$B$2:$B$300,$A9,Checklist!$H$2:$H$300,"Chờ thử lại")</f>
        <v>1</v>
      </c>
      <c r="F9" s="9" t="n">
        <f aca="false">COUNTIFS(Checklist!$B$2:$B$300,$A9,Checklist!$H$2:$H$300,"Bỏ qua")</f>
        <v>0</v>
      </c>
      <c r="G9" s="9" t="n">
        <f aca="false">B9-C9-D9-E9-F9</f>
        <v>8</v>
      </c>
      <c r="H9" s="10" t="n">
        <f aca="false">IFERROR(C9/(B9-F9),0)</f>
        <v>0</v>
      </c>
    </row>
    <row r="10" customFormat="false" ht="15" hidden="false" customHeight="true" outlineLevel="0" collapsed="false">
      <c r="A10" s="15" t="s">
        <v>68</v>
      </c>
      <c r="B10" s="9" t="n">
        <f aca="false">COUNTIF(Checklist!$B$2:$B$300,$A10)</f>
        <v>9</v>
      </c>
      <c r="C10" s="9" t="n">
        <f aca="false">COUNTIFS(Checklist!$B$2:$B$300,$A10,Checklist!$H$2:$H$300,"Đạt")</f>
        <v>0</v>
      </c>
      <c r="D10" s="9" t="n">
        <f aca="false">COUNTIFS(Checklist!$B$2:$B$300,$A10,Checklist!$H$2:$H$300,"Lỗi")</f>
        <v>1</v>
      </c>
      <c r="E10" s="9" t="n">
        <f aca="false">COUNTIFS(Checklist!$B$2:$B$300,$A10,Checklist!$H$2:$H$300,"Chờ thử lại")</f>
        <v>0</v>
      </c>
      <c r="F10" s="9" t="n">
        <f aca="false">COUNTIFS(Checklist!$B$2:$B$300,$A10,Checklist!$H$2:$H$300,"Bỏ qua")</f>
        <v>0</v>
      </c>
      <c r="G10" s="9" t="n">
        <f aca="false">B10-C10-D10-E10-F10</f>
        <v>8</v>
      </c>
      <c r="H10" s="10" t="n">
        <f aca="false">IFERROR(C10/(B10-F10),0)</f>
        <v>0</v>
      </c>
    </row>
    <row r="11" customFormat="false" ht="15" hidden="false" customHeight="true" outlineLevel="0" collapsed="false">
      <c r="A11" s="16" t="s">
        <v>69</v>
      </c>
      <c r="B11" s="9" t="n">
        <f aca="false">COUNTIF(Checklist!$B$2:$B$300,$A11)</f>
        <v>14</v>
      </c>
      <c r="C11" s="9" t="n">
        <f aca="false">COUNTIFS(Checklist!$B$2:$B$300,$A11,Checklist!$H$2:$H$300,"Đạt")</f>
        <v>0</v>
      </c>
      <c r="D11" s="9" t="n">
        <f aca="false">COUNTIFS(Checklist!$B$2:$B$300,$A11,Checklist!$H$2:$H$300,"Lỗi")</f>
        <v>0</v>
      </c>
      <c r="E11" s="9" t="n">
        <f aca="false">COUNTIFS(Checklist!$B$2:$B$300,$A11,Checklist!$H$2:$H$300,"Chờ thử lại")</f>
        <v>3</v>
      </c>
      <c r="F11" s="9" t="n">
        <f aca="false">COUNTIFS(Checklist!$B$2:$B$300,$A11,Checklist!$H$2:$H$300,"Bỏ qua")</f>
        <v>0</v>
      </c>
      <c r="G11" s="9" t="n">
        <f aca="false">B11-C11-D11-E11-F11</f>
        <v>11</v>
      </c>
      <c r="H11" s="10" t="n">
        <f aca="false">IFERROR(C11/(B11-F11),0)</f>
        <v>0</v>
      </c>
    </row>
    <row r="12" customFormat="false" ht="15" hidden="false" customHeight="true" outlineLevel="0" collapsed="false">
      <c r="A12" s="11" t="s">
        <v>70</v>
      </c>
      <c r="B12" s="9" t="n">
        <f aca="false">COUNTIF(Checklist!$B$2:$B$300,$A12)</f>
        <v>8</v>
      </c>
      <c r="C12" s="9" t="n">
        <f aca="false">COUNTIFS(Checklist!$B$2:$B$300,$A12,Checklist!$H$2:$H$300,"Đạt")</f>
        <v>0</v>
      </c>
      <c r="D12" s="9" t="n">
        <f aca="false">COUNTIFS(Checklist!$B$2:$B$300,$A12,Checklist!$H$2:$H$300,"Lỗi")</f>
        <v>1</v>
      </c>
      <c r="E12" s="9" t="n">
        <f aca="false">COUNTIFS(Checklist!$B$2:$B$300,$A12,Checklist!$H$2:$H$300,"Chờ thử lại")</f>
        <v>4</v>
      </c>
      <c r="F12" s="9" t="n">
        <f aca="false">COUNTIFS(Checklist!$B$2:$B$300,$A12,Checklist!$H$2:$H$300,"Bỏ qua")</f>
        <v>0</v>
      </c>
      <c r="G12" s="9" t="n">
        <f aca="false">B12-C12-D12-E12-F12</f>
        <v>3</v>
      </c>
      <c r="H12" s="10" t="n">
        <f aca="false">IFERROR(C12/(B12-F12),0)</f>
        <v>0</v>
      </c>
    </row>
    <row r="13" customFormat="false" ht="15" hidden="false" customHeight="true" outlineLevel="0" collapsed="false">
      <c r="A13" s="13" t="s">
        <v>71</v>
      </c>
      <c r="B13" s="9" t="n">
        <f aca="false">COUNTIF(Checklist!$B$2:$B$300,$A13)</f>
        <v>10</v>
      </c>
      <c r="C13" s="9" t="n">
        <f aca="false">COUNTIFS(Checklist!$B$2:$B$300,$A13,Checklist!$H$2:$H$300,"Đạt")</f>
        <v>0</v>
      </c>
      <c r="D13" s="9" t="n">
        <f aca="false">COUNTIFS(Checklist!$B$2:$B$300,$A13,Checklist!$H$2:$H$300,"Lỗi")</f>
        <v>0</v>
      </c>
      <c r="E13" s="9" t="n">
        <f aca="false">COUNTIFS(Checklist!$B$2:$B$300,$A13,Checklist!$H$2:$H$300,"Chờ thử lại")</f>
        <v>0</v>
      </c>
      <c r="F13" s="9" t="n">
        <f aca="false">COUNTIFS(Checklist!$B$2:$B$300,$A13,Checklist!$H$2:$H$300,"Bỏ qua")</f>
        <v>0</v>
      </c>
      <c r="G13" s="9" t="n">
        <f aca="false">B13-C13-D13-E13-F13</f>
        <v>10</v>
      </c>
      <c r="H13" s="10" t="n">
        <f aca="false">IFERROR(C13/(B13-F13),0)</f>
        <v>0</v>
      </c>
    </row>
    <row r="14" customFormat="false" ht="15" hidden="false" customHeight="true" outlineLevel="0" collapsed="false">
      <c r="A14" s="16" t="s">
        <v>72</v>
      </c>
      <c r="B14" s="9" t="n">
        <f aca="false">COUNTIF(Checklist!$B$2:$B$300,$A14)</f>
        <v>5</v>
      </c>
      <c r="C14" s="9" t="n">
        <f aca="false">COUNTIFS(Checklist!$B$2:$B$300,$A14,Checklist!$H$2:$H$300,"Đạt")</f>
        <v>0</v>
      </c>
      <c r="D14" s="9" t="n">
        <f aca="false">COUNTIFS(Checklist!$B$2:$B$300,$A14,Checklist!$H$2:$H$300,"Lỗi")</f>
        <v>0</v>
      </c>
      <c r="E14" s="9" t="n">
        <f aca="false">COUNTIFS(Checklist!$B$2:$B$300,$A14,Checklist!$H$2:$H$300,"Chờ thử lại")</f>
        <v>0</v>
      </c>
      <c r="F14" s="9" t="n">
        <f aca="false">COUNTIFS(Checklist!$B$2:$B$300,$A14,Checklist!$H$2:$H$300,"Bỏ qua")</f>
        <v>0</v>
      </c>
      <c r="G14" s="9" t="n">
        <f aca="false">B14-C14-D14-E14-F14</f>
        <v>5</v>
      </c>
      <c r="H14" s="10" t="n">
        <f aca="false">IFERROR(C14/(B14-F14),0)</f>
        <v>0</v>
      </c>
    </row>
    <row r="15" customFormat="false" ht="15" hidden="false" customHeight="true" outlineLevel="0" collapsed="false">
      <c r="A15" s="8" t="s">
        <v>73</v>
      </c>
      <c r="B15" s="9" t="n">
        <f aca="false">COUNTIF(Checklist!$B$2:$B$300,$A15)</f>
        <v>7</v>
      </c>
      <c r="C15" s="9" t="n">
        <f aca="false">COUNTIFS(Checklist!$B$2:$B$300,$A15,Checklist!$H$2:$H$300,"Đạt")</f>
        <v>0</v>
      </c>
      <c r="D15" s="9" t="n">
        <f aca="false">COUNTIFS(Checklist!$B$2:$B$300,$A15,Checklist!$H$2:$H$300,"Lỗi")</f>
        <v>0</v>
      </c>
      <c r="E15" s="9" t="n">
        <f aca="false">COUNTIFS(Checklist!$B$2:$B$300,$A15,Checklist!$H$2:$H$300,"Chờ thử lại")</f>
        <v>0</v>
      </c>
      <c r="F15" s="9" t="n">
        <f aca="false">COUNTIFS(Checklist!$B$2:$B$300,$A15,Checklist!$H$2:$H$300,"Bỏ qua")</f>
        <v>0</v>
      </c>
      <c r="G15" s="9" t="n">
        <f aca="false">B15-C15-D15-E15-F15</f>
        <v>7</v>
      </c>
      <c r="H15" s="10" t="n">
        <f aca="false">IFERROR(C15/(B15-F15),0)</f>
        <v>0</v>
      </c>
    </row>
    <row r="16" customFormat="false" ht="15" hidden="false" customHeight="true" outlineLevel="0" collapsed="false">
      <c r="A16" s="12" t="s">
        <v>74</v>
      </c>
      <c r="B16" s="9" t="n">
        <f aca="false">COUNTIF(Checklist!$B$2:$B$300,$A16)</f>
        <v>7</v>
      </c>
      <c r="C16" s="9" t="n">
        <f aca="false">COUNTIFS(Checklist!$B$2:$B$300,$A16,Checklist!$H$2:$H$300,"Đạt")</f>
        <v>0</v>
      </c>
      <c r="D16" s="9" t="n">
        <f aca="false">COUNTIFS(Checklist!$B$2:$B$300,$A16,Checklist!$H$2:$H$300,"Lỗi")</f>
        <v>0</v>
      </c>
      <c r="E16" s="9" t="n">
        <f aca="false">COUNTIFS(Checklist!$B$2:$B$300,$A16,Checklist!$H$2:$H$300,"Chờ thử lại")</f>
        <v>0</v>
      </c>
      <c r="F16" s="9" t="n">
        <f aca="false">COUNTIFS(Checklist!$B$2:$B$300,$A16,Checklist!$H$2:$H$300,"Bỏ qua")</f>
        <v>0</v>
      </c>
      <c r="G16" s="9" t="n">
        <f aca="false">B16-C16-D16-E16-F16</f>
        <v>7</v>
      </c>
      <c r="H16" s="10" t="n">
        <f aca="false">IFERROR(C16/(B16-F16),0)</f>
        <v>0</v>
      </c>
    </row>
    <row r="17" customFormat="false" ht="15" hidden="false" customHeight="true" outlineLevel="0" collapsed="false">
      <c r="A17" s="14" t="s">
        <v>75</v>
      </c>
      <c r="B17" s="9" t="n">
        <f aca="false">COUNTIF(Checklist!$B$2:$B$300,$A17)</f>
        <v>12</v>
      </c>
      <c r="C17" s="9" t="n">
        <f aca="false">COUNTIFS(Checklist!$B$2:$B$300,$A17,Checklist!$H$2:$H$300,"Đạt")</f>
        <v>0</v>
      </c>
      <c r="D17" s="9" t="n">
        <f aca="false">COUNTIFS(Checklist!$B$2:$B$300,$A17,Checklist!$H$2:$H$300,"Lỗi")</f>
        <v>0</v>
      </c>
      <c r="E17" s="9" t="n">
        <f aca="false">COUNTIFS(Checklist!$B$2:$B$300,$A17,Checklist!$H$2:$H$300,"Chờ thử lại")</f>
        <v>0</v>
      </c>
      <c r="F17" s="9" t="n">
        <f aca="false">COUNTIFS(Checklist!$B$2:$B$300,$A17,Checklist!$H$2:$H$300,"Bỏ qua")</f>
        <v>0</v>
      </c>
      <c r="G17" s="9" t="n">
        <f aca="false">B17-C17-D17-E17-F17</f>
        <v>12</v>
      </c>
      <c r="H17" s="10" t="n">
        <f aca="false">IFERROR(C17/(B17-F17),0)</f>
        <v>0</v>
      </c>
    </row>
    <row r="18" customFormat="false" ht="15" hidden="false" customHeight="true" outlineLevel="0" collapsed="false">
      <c r="A18" s="17" t="s">
        <v>76</v>
      </c>
      <c r="B18" s="18" t="n">
        <f aca="false">SUM(B5:B17)</f>
        <v>142</v>
      </c>
      <c r="C18" s="18" t="n">
        <f aca="false">SUM(C5:C17)</f>
        <v>17</v>
      </c>
      <c r="D18" s="18" t="n">
        <f aca="false">SUM(D5:D17)</f>
        <v>3</v>
      </c>
      <c r="E18" s="18" t="n">
        <f aca="false">SUM(E5:E17)</f>
        <v>18</v>
      </c>
      <c r="F18" s="18" t="n">
        <f aca="false">SUM(F5:F17)</f>
        <v>0</v>
      </c>
      <c r="G18" s="18" t="n">
        <f aca="false">SUM(G5:G17)</f>
        <v>104</v>
      </c>
      <c r="H18" s="19" t="n">
        <f aca="false">IFERROR(C18/(B18-F18),0)</f>
        <v>0.119718309859155</v>
      </c>
    </row>
    <row r="20" customFormat="false" ht="15" hidden="false" customHeight="true" outlineLevel="0" collapsed="false">
      <c r="A20" s="4" t="s">
        <v>77</v>
      </c>
    </row>
    <row r="21" customFormat="false" ht="15" hidden="false" customHeight="true" outlineLevel="0" collapsed="false">
      <c r="A21" s="20" t="s">
        <v>78</v>
      </c>
      <c r="B21" s="21" t="n">
        <f aca="false">COUNTIFS(Checklist!$G$2:$G$300,"Cao")-COUNTIFS(Checklist!$G$2:$G$300,"Cao",Checklist!$H$2:$H$300,"Đạt")-COUNTIFS(Checklist!$G$2:$G$300,"Cao",Checklist!$H$2:$H$300,"Bỏ qua")</f>
        <v>78</v>
      </c>
    </row>
    <row r="22" customFormat="false" ht="15" hidden="false" customHeight="true" outlineLevel="0" collapsed="false">
      <c r="A22" s="20" t="s">
        <v>79</v>
      </c>
      <c r="B22" s="21" t="n">
        <f aca="false">D18</f>
        <v>3</v>
      </c>
    </row>
    <row r="23" customFormat="false" ht="15" hidden="false" customHeight="true" outlineLevel="0" collapsed="false">
      <c r="A23" s="22" t="s">
        <v>80</v>
      </c>
      <c r="B23" s="23" t="str">
        <f aca="false">IF(AND(B21=0,B22=0),"SẴN SÀNG GO-LIVE","CHƯA SẴN SÀNG")</f>
        <v>CHƯA SẴN SÀNG</v>
      </c>
      <c r="C23" s="23"/>
      <c r="D23" s="23"/>
    </row>
    <row r="25" customFormat="false" ht="30" hidden="false" customHeight="true" outlineLevel="0" collapsed="false">
      <c r="A25" s="24" t="s">
        <v>81</v>
      </c>
      <c r="B25" s="24"/>
      <c r="C25" s="24"/>
      <c r="D25" s="24"/>
      <c r="E25" s="24"/>
      <c r="F25" s="24"/>
      <c r="G25" s="24"/>
      <c r="H25" s="24"/>
    </row>
  </sheetData>
  <mergeCells count="2">
    <mergeCell ref="B23:D23"/>
    <mergeCell ref="A25:H25"/>
  </mergeCells>
  <conditionalFormatting sqref="D5:D18">
    <cfRule type="cellIs" priority="2" operator="greaterThan" aboveAverage="0" equalAverage="0" bottom="0" percent="0" rank="0" text="" dxfId="0">
      <formula>0</formula>
    </cfRule>
  </conditionalFormatting>
  <conditionalFormatting sqref="E5:E18">
    <cfRule type="cellIs" priority="3" operator="greaterThan" aboveAverage="0" equalAverage="0" bottom="0" percent="0" rank="0" text="" dxfId="1">
      <formula>0</formula>
    </cfRule>
  </conditionalFormatting>
  <conditionalFormatting sqref="B23">
    <cfRule type="expression" priority="4" aboveAverage="0" equalAverage="0" bottom="0" percent="0" rank="0" text="" dxfId="2">
      <formula>$B$23="SẴN SÀNG GO-LIVE"</formula>
    </cfRule>
    <cfRule type="expression" priority="5" aboveAverage="0" equalAverage="0" bottom="0" percent="0" rank="0" text="" dxfId="0">
      <formula>$B$23="CHƯA SẴN SÀNG"</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1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17"/>
    <col collapsed="false" customWidth="true" hidden="false" outlineLevel="0" max="3" min="3" style="1" width="14"/>
    <col collapsed="false" customWidth="true" hidden="false" outlineLevel="0" max="4" min="4" style="1" width="34"/>
    <col collapsed="false" customWidth="true" hidden="false" outlineLevel="0" max="6" min="5" style="1" width="52"/>
    <col collapsed="false" customWidth="true" hidden="false" outlineLevel="0" max="7" min="7" style="1" width="9"/>
    <col collapsed="false" customWidth="true" hidden="false" outlineLevel="0" max="9" min="8" style="1" width="12"/>
    <col collapsed="false" customWidth="true" hidden="false" outlineLevel="0" max="10" min="10" style="1" width="36"/>
  </cols>
  <sheetData>
    <row r="1" customFormat="false" ht="30" hidden="false" customHeight="true" outlineLevel="0" collapsed="false">
      <c r="A1" s="25" t="s">
        <v>82</v>
      </c>
      <c r="B1" s="25" t="s">
        <v>56</v>
      </c>
      <c r="C1" s="25" t="s">
        <v>83</v>
      </c>
      <c r="D1" s="25" t="s">
        <v>84</v>
      </c>
      <c r="E1" s="25" t="s">
        <v>85</v>
      </c>
      <c r="F1" s="25" t="s">
        <v>86</v>
      </c>
      <c r="G1" s="25" t="s">
        <v>87</v>
      </c>
      <c r="H1" s="25" t="s">
        <v>5</v>
      </c>
      <c r="I1" s="25" t="s">
        <v>13</v>
      </c>
      <c r="J1" s="25" t="s">
        <v>15</v>
      </c>
    </row>
    <row r="2" customFormat="false" ht="23.25" hidden="false" customHeight="true" outlineLevel="0" collapsed="false">
      <c r="A2" s="26" t="s">
        <v>88</v>
      </c>
      <c r="B2" s="27" t="s">
        <v>63</v>
      </c>
      <c r="C2" s="28" t="s">
        <v>89</v>
      </c>
      <c r="D2" s="29" t="s">
        <v>90</v>
      </c>
      <c r="E2" s="28" t="s">
        <v>91</v>
      </c>
      <c r="F2" s="28" t="s">
        <v>92</v>
      </c>
      <c r="G2" s="30" t="s">
        <v>93</v>
      </c>
      <c r="H2" s="31" t="s">
        <v>61</v>
      </c>
      <c r="I2" s="32"/>
      <c r="J2" s="33" t="s">
        <v>94</v>
      </c>
    </row>
    <row r="3" customFormat="false" ht="23.25" hidden="false" customHeight="true" outlineLevel="0" collapsed="false">
      <c r="A3" s="26" t="s">
        <v>95</v>
      </c>
      <c r="B3" s="27" t="s">
        <v>63</v>
      </c>
      <c r="C3" s="28" t="s">
        <v>89</v>
      </c>
      <c r="D3" s="29" t="s">
        <v>96</v>
      </c>
      <c r="E3" s="28" t="s">
        <v>97</v>
      </c>
      <c r="F3" s="28" t="s">
        <v>98</v>
      </c>
      <c r="G3" s="30" t="s">
        <v>93</v>
      </c>
      <c r="H3" s="31" t="s">
        <v>12</v>
      </c>
      <c r="I3" s="32" t="n">
        <v>46298</v>
      </c>
      <c r="J3" s="33" t="s">
        <v>99</v>
      </c>
    </row>
    <row r="4" customFormat="false" ht="23.25" hidden="false" customHeight="true" outlineLevel="0" collapsed="false">
      <c r="A4" s="26" t="s">
        <v>100</v>
      </c>
      <c r="B4" s="27" t="s">
        <v>63</v>
      </c>
      <c r="C4" s="28" t="s">
        <v>89</v>
      </c>
      <c r="D4" s="29" t="s">
        <v>101</v>
      </c>
      <c r="E4" s="28" t="s">
        <v>102</v>
      </c>
      <c r="F4" s="28" t="s">
        <v>103</v>
      </c>
      <c r="G4" s="30" t="s">
        <v>93</v>
      </c>
      <c r="H4" s="31" t="s">
        <v>12</v>
      </c>
      <c r="I4" s="32" t="n">
        <v>46298</v>
      </c>
      <c r="J4" s="33"/>
    </row>
    <row r="5" customFormat="false" ht="23.25" hidden="false" customHeight="true" outlineLevel="0" collapsed="false">
      <c r="A5" s="26" t="s">
        <v>104</v>
      </c>
      <c r="B5" s="27" t="s">
        <v>63</v>
      </c>
      <c r="C5" s="28" t="s">
        <v>89</v>
      </c>
      <c r="D5" s="29" t="s">
        <v>105</v>
      </c>
      <c r="E5" s="28" t="s">
        <v>106</v>
      </c>
      <c r="F5" s="28" t="s">
        <v>107</v>
      </c>
      <c r="G5" s="30" t="s">
        <v>93</v>
      </c>
      <c r="H5" s="31" t="s">
        <v>12</v>
      </c>
      <c r="I5" s="32" t="n">
        <v>46298</v>
      </c>
      <c r="J5" s="33" t="s">
        <v>108</v>
      </c>
    </row>
    <row r="6" customFormat="false" ht="34.5" hidden="false" customHeight="true" outlineLevel="0" collapsed="false">
      <c r="A6" s="26" t="s">
        <v>109</v>
      </c>
      <c r="B6" s="27" t="s">
        <v>63</v>
      </c>
      <c r="C6" s="28" t="s">
        <v>89</v>
      </c>
      <c r="D6" s="29" t="s">
        <v>110</v>
      </c>
      <c r="E6" s="28" t="s">
        <v>111</v>
      </c>
      <c r="F6" s="28" t="s">
        <v>112</v>
      </c>
      <c r="G6" s="30" t="s">
        <v>93</v>
      </c>
      <c r="H6" s="31" t="s">
        <v>12</v>
      </c>
      <c r="I6" s="32" t="n">
        <v>46298</v>
      </c>
      <c r="J6" s="33" t="s">
        <v>113</v>
      </c>
    </row>
    <row r="7" customFormat="false" ht="23.25" hidden="false" customHeight="true" outlineLevel="0" collapsed="false">
      <c r="A7" s="26" t="s">
        <v>114</v>
      </c>
      <c r="B7" s="27" t="s">
        <v>63</v>
      </c>
      <c r="C7" s="28" t="s">
        <v>89</v>
      </c>
      <c r="D7" s="29" t="s">
        <v>115</v>
      </c>
      <c r="E7" s="28" t="s">
        <v>116</v>
      </c>
      <c r="F7" s="28" t="s">
        <v>117</v>
      </c>
      <c r="G7" s="30" t="s">
        <v>93</v>
      </c>
      <c r="H7" s="31" t="s">
        <v>12</v>
      </c>
      <c r="I7" s="32" t="n">
        <v>46298</v>
      </c>
      <c r="J7" s="33" t="s">
        <v>118</v>
      </c>
    </row>
    <row r="8" customFormat="false" ht="34.5" hidden="false" customHeight="true" outlineLevel="0" collapsed="false">
      <c r="A8" s="26" t="s">
        <v>119</v>
      </c>
      <c r="B8" s="27" t="s">
        <v>63</v>
      </c>
      <c r="C8" s="28" t="s">
        <v>89</v>
      </c>
      <c r="D8" s="29" t="s">
        <v>120</v>
      </c>
      <c r="E8" s="28" t="s">
        <v>121</v>
      </c>
      <c r="F8" s="28" t="s">
        <v>122</v>
      </c>
      <c r="G8" s="30" t="s">
        <v>93</v>
      </c>
      <c r="H8" s="31" t="s">
        <v>61</v>
      </c>
      <c r="I8" s="32"/>
      <c r="J8" s="33" t="s">
        <v>123</v>
      </c>
    </row>
    <row r="9" customFormat="false" ht="23.25" hidden="false" customHeight="true" outlineLevel="0" collapsed="false">
      <c r="A9" s="26" t="s">
        <v>124</v>
      </c>
      <c r="B9" s="27" t="s">
        <v>63</v>
      </c>
      <c r="C9" s="28" t="s">
        <v>89</v>
      </c>
      <c r="D9" s="29" t="s">
        <v>125</v>
      </c>
      <c r="E9" s="28" t="s">
        <v>126</v>
      </c>
      <c r="F9" s="28" t="s">
        <v>127</v>
      </c>
      <c r="G9" s="30" t="s">
        <v>93</v>
      </c>
      <c r="H9" s="31" t="s">
        <v>61</v>
      </c>
      <c r="I9" s="32"/>
      <c r="J9" s="33"/>
    </row>
    <row r="10" customFormat="false" ht="15" hidden="false" customHeight="true" outlineLevel="0" collapsed="false">
      <c r="A10" s="26" t="s">
        <v>128</v>
      </c>
      <c r="B10" s="27" t="s">
        <v>63</v>
      </c>
      <c r="C10" s="28" t="s">
        <v>129</v>
      </c>
      <c r="D10" s="29" t="s">
        <v>130</v>
      </c>
      <c r="E10" s="28" t="s">
        <v>131</v>
      </c>
      <c r="F10" s="28" t="s">
        <v>132</v>
      </c>
      <c r="G10" s="30" t="s">
        <v>133</v>
      </c>
      <c r="H10" s="31" t="s">
        <v>61</v>
      </c>
      <c r="I10" s="32"/>
      <c r="J10" s="33"/>
    </row>
    <row r="11" customFormat="false" ht="23.25" hidden="false" customHeight="true" outlineLevel="0" collapsed="false">
      <c r="A11" s="26" t="s">
        <v>134</v>
      </c>
      <c r="B11" s="27" t="s">
        <v>63</v>
      </c>
      <c r="C11" s="28" t="s">
        <v>89</v>
      </c>
      <c r="D11" s="29" t="s">
        <v>135</v>
      </c>
      <c r="E11" s="28" t="s">
        <v>136</v>
      </c>
      <c r="F11" s="28" t="s">
        <v>137</v>
      </c>
      <c r="G11" s="30" t="s">
        <v>93</v>
      </c>
      <c r="H11" s="31" t="s">
        <v>61</v>
      </c>
      <c r="I11" s="32"/>
      <c r="J11" s="33"/>
    </row>
    <row r="12" customFormat="false" ht="23.25" hidden="false" customHeight="true" outlineLevel="0" collapsed="false">
      <c r="A12" s="26" t="s">
        <v>138</v>
      </c>
      <c r="B12" s="27" t="s">
        <v>63</v>
      </c>
      <c r="C12" s="28" t="s">
        <v>139</v>
      </c>
      <c r="D12" s="29" t="s">
        <v>140</v>
      </c>
      <c r="E12" s="28" t="s">
        <v>141</v>
      </c>
      <c r="F12" s="28" t="s">
        <v>142</v>
      </c>
      <c r="G12" s="30" t="s">
        <v>143</v>
      </c>
      <c r="H12" s="31" t="s">
        <v>61</v>
      </c>
      <c r="I12" s="32"/>
      <c r="J12" s="33"/>
    </row>
    <row r="13" customFormat="false" ht="45.75" hidden="false" customHeight="true" outlineLevel="0" collapsed="false">
      <c r="A13" s="26" t="s">
        <v>144</v>
      </c>
      <c r="B13" s="34" t="s">
        <v>64</v>
      </c>
      <c r="C13" s="28" t="s">
        <v>145</v>
      </c>
      <c r="D13" s="29" t="s">
        <v>146</v>
      </c>
      <c r="E13" s="28" t="s">
        <v>147</v>
      </c>
      <c r="F13" s="28" t="s">
        <v>148</v>
      </c>
      <c r="G13" s="30" t="s">
        <v>93</v>
      </c>
      <c r="H13" s="31" t="s">
        <v>12</v>
      </c>
      <c r="I13" s="32" t="n">
        <v>46298</v>
      </c>
      <c r="J13" s="33" t="s">
        <v>149</v>
      </c>
    </row>
    <row r="14" customFormat="false" ht="23.25" hidden="false" customHeight="true" outlineLevel="0" collapsed="false">
      <c r="A14" s="26" t="s">
        <v>150</v>
      </c>
      <c r="B14" s="34" t="s">
        <v>64</v>
      </c>
      <c r="C14" s="28" t="s">
        <v>151</v>
      </c>
      <c r="D14" s="29" t="s">
        <v>152</v>
      </c>
      <c r="E14" s="28" t="s">
        <v>153</v>
      </c>
      <c r="F14" s="28" t="s">
        <v>154</v>
      </c>
      <c r="G14" s="30" t="s">
        <v>93</v>
      </c>
      <c r="H14" s="31" t="s">
        <v>12</v>
      </c>
      <c r="I14" s="32" t="n">
        <v>46298</v>
      </c>
      <c r="J14" s="33" t="s">
        <v>155</v>
      </c>
    </row>
    <row r="15" customFormat="false" ht="45.75" hidden="false" customHeight="true" outlineLevel="0" collapsed="false">
      <c r="A15" s="26" t="s">
        <v>156</v>
      </c>
      <c r="B15" s="34" t="s">
        <v>64</v>
      </c>
      <c r="C15" s="28" t="s">
        <v>129</v>
      </c>
      <c r="D15" s="29" t="s">
        <v>157</v>
      </c>
      <c r="E15" s="28" t="s">
        <v>158</v>
      </c>
      <c r="F15" s="28" t="s">
        <v>159</v>
      </c>
      <c r="G15" s="30" t="s">
        <v>93</v>
      </c>
      <c r="H15" s="31" t="s">
        <v>12</v>
      </c>
      <c r="I15" s="32" t="n">
        <v>46298</v>
      </c>
      <c r="J15" s="33" t="s">
        <v>160</v>
      </c>
    </row>
    <row r="16" customFormat="false" ht="68.25" hidden="false" customHeight="true" outlineLevel="0" collapsed="false">
      <c r="A16" s="26" t="s">
        <v>161</v>
      </c>
      <c r="B16" s="34" t="s">
        <v>64</v>
      </c>
      <c r="C16" s="28" t="s">
        <v>139</v>
      </c>
      <c r="D16" s="29" t="s">
        <v>162</v>
      </c>
      <c r="E16" s="28" t="s">
        <v>163</v>
      </c>
      <c r="F16" s="28" t="s">
        <v>164</v>
      </c>
      <c r="G16" s="30" t="s">
        <v>93</v>
      </c>
      <c r="H16" s="31" t="s">
        <v>12</v>
      </c>
      <c r="I16" s="32" t="n">
        <v>46298</v>
      </c>
      <c r="J16" s="33" t="s">
        <v>165</v>
      </c>
    </row>
    <row r="17" customFormat="false" ht="45.75" hidden="false" customHeight="true" outlineLevel="0" collapsed="false">
      <c r="A17" s="26" t="s">
        <v>166</v>
      </c>
      <c r="B17" s="34" t="s">
        <v>64</v>
      </c>
      <c r="C17" s="28" t="s">
        <v>167</v>
      </c>
      <c r="D17" s="29" t="s">
        <v>168</v>
      </c>
      <c r="E17" s="28" t="s">
        <v>169</v>
      </c>
      <c r="F17" s="28" t="s">
        <v>170</v>
      </c>
      <c r="G17" s="30" t="s">
        <v>93</v>
      </c>
      <c r="H17" s="31" t="s">
        <v>61</v>
      </c>
      <c r="I17" s="32"/>
      <c r="J17" s="33" t="s">
        <v>171</v>
      </c>
    </row>
    <row r="18" customFormat="false" ht="15" hidden="false" customHeight="true" outlineLevel="0" collapsed="false">
      <c r="A18" s="26" t="s">
        <v>172</v>
      </c>
      <c r="B18" s="34" t="s">
        <v>64</v>
      </c>
      <c r="C18" s="28" t="s">
        <v>139</v>
      </c>
      <c r="D18" s="29" t="s">
        <v>173</v>
      </c>
      <c r="E18" s="28" t="s">
        <v>174</v>
      </c>
      <c r="F18" s="28" t="s">
        <v>175</v>
      </c>
      <c r="G18" s="30" t="s">
        <v>93</v>
      </c>
      <c r="H18" s="31" t="s">
        <v>61</v>
      </c>
      <c r="I18" s="32"/>
      <c r="J18" s="33"/>
    </row>
    <row r="19" customFormat="false" ht="34.5" hidden="false" customHeight="true" outlineLevel="0" collapsed="false">
      <c r="A19" s="26" t="s">
        <v>176</v>
      </c>
      <c r="B19" s="34" t="s">
        <v>64</v>
      </c>
      <c r="C19" s="28" t="s">
        <v>145</v>
      </c>
      <c r="D19" s="29" t="s">
        <v>177</v>
      </c>
      <c r="E19" s="28" t="s">
        <v>178</v>
      </c>
      <c r="F19" s="28" t="s">
        <v>179</v>
      </c>
      <c r="G19" s="30" t="s">
        <v>93</v>
      </c>
      <c r="H19" s="31" t="s">
        <v>61</v>
      </c>
      <c r="I19" s="32"/>
      <c r="J19" s="33"/>
    </row>
    <row r="20" customFormat="false" ht="15" hidden="false" customHeight="true" outlineLevel="0" collapsed="false">
      <c r="A20" s="26" t="s">
        <v>180</v>
      </c>
      <c r="B20" s="34" t="s">
        <v>64</v>
      </c>
      <c r="C20" s="28" t="s">
        <v>181</v>
      </c>
      <c r="D20" s="29" t="s">
        <v>182</v>
      </c>
      <c r="E20" s="28" t="s">
        <v>183</v>
      </c>
      <c r="F20" s="28" t="s">
        <v>184</v>
      </c>
      <c r="G20" s="30" t="s">
        <v>93</v>
      </c>
      <c r="H20" s="31" t="s">
        <v>61</v>
      </c>
      <c r="I20" s="32"/>
      <c r="J20" s="33"/>
    </row>
    <row r="21" customFormat="false" ht="23.25" hidden="false" customHeight="true" outlineLevel="0" collapsed="false">
      <c r="A21" s="26" t="s">
        <v>185</v>
      </c>
      <c r="B21" s="34" t="s">
        <v>64</v>
      </c>
      <c r="C21" s="28" t="s">
        <v>139</v>
      </c>
      <c r="D21" s="29" t="s">
        <v>186</v>
      </c>
      <c r="E21" s="28" t="s">
        <v>187</v>
      </c>
      <c r="F21" s="28" t="s">
        <v>188</v>
      </c>
      <c r="G21" s="30" t="s">
        <v>93</v>
      </c>
      <c r="H21" s="31" t="s">
        <v>61</v>
      </c>
      <c r="I21" s="32"/>
      <c r="J21" s="33"/>
    </row>
    <row r="22" customFormat="false" ht="23.25" hidden="false" customHeight="true" outlineLevel="0" collapsed="false">
      <c r="A22" s="26" t="s">
        <v>189</v>
      </c>
      <c r="B22" s="34" t="s">
        <v>64</v>
      </c>
      <c r="C22" s="28" t="s">
        <v>145</v>
      </c>
      <c r="D22" s="29" t="s">
        <v>190</v>
      </c>
      <c r="E22" s="28" t="s">
        <v>191</v>
      </c>
      <c r="F22" s="28" t="s">
        <v>192</v>
      </c>
      <c r="G22" s="30" t="s">
        <v>93</v>
      </c>
      <c r="H22" s="31" t="s">
        <v>61</v>
      </c>
      <c r="I22" s="32"/>
      <c r="J22" s="33"/>
    </row>
    <row r="23" customFormat="false" ht="34.5" hidden="false" customHeight="true" outlineLevel="0" collapsed="false">
      <c r="A23" s="26" t="s">
        <v>193</v>
      </c>
      <c r="B23" s="34" t="s">
        <v>64</v>
      </c>
      <c r="C23" s="28" t="s">
        <v>181</v>
      </c>
      <c r="D23" s="29" t="s">
        <v>194</v>
      </c>
      <c r="E23" s="28" t="s">
        <v>195</v>
      </c>
      <c r="F23" s="28" t="s">
        <v>196</v>
      </c>
      <c r="G23" s="30" t="s">
        <v>93</v>
      </c>
      <c r="H23" s="31" t="s">
        <v>58</v>
      </c>
      <c r="I23" s="32" t="n">
        <v>46298</v>
      </c>
      <c r="J23" s="33" t="s">
        <v>197</v>
      </c>
    </row>
    <row r="24" customFormat="false" ht="15" hidden="false" customHeight="true" outlineLevel="0" collapsed="false">
      <c r="A24" s="26" t="s">
        <v>198</v>
      </c>
      <c r="B24" s="34" t="s">
        <v>64</v>
      </c>
      <c r="C24" s="28" t="s">
        <v>181</v>
      </c>
      <c r="D24" s="29" t="s">
        <v>199</v>
      </c>
      <c r="E24" s="28" t="s">
        <v>200</v>
      </c>
      <c r="F24" s="28" t="s">
        <v>201</v>
      </c>
      <c r="G24" s="30" t="s">
        <v>133</v>
      </c>
      <c r="H24" s="31" t="s">
        <v>61</v>
      </c>
      <c r="I24" s="32"/>
      <c r="J24" s="33"/>
    </row>
    <row r="25" customFormat="false" ht="34.5" hidden="false" customHeight="true" outlineLevel="0" collapsed="false">
      <c r="A25" s="26" t="s">
        <v>202</v>
      </c>
      <c r="B25" s="34" t="s">
        <v>64</v>
      </c>
      <c r="C25" s="28" t="s">
        <v>167</v>
      </c>
      <c r="D25" s="29" t="s">
        <v>203</v>
      </c>
      <c r="E25" s="28" t="s">
        <v>204</v>
      </c>
      <c r="F25" s="28" t="s">
        <v>205</v>
      </c>
      <c r="G25" s="30" t="s">
        <v>93</v>
      </c>
      <c r="H25" s="31" t="s">
        <v>12</v>
      </c>
      <c r="I25" s="32" t="n">
        <v>46298</v>
      </c>
      <c r="J25" s="33" t="s">
        <v>206</v>
      </c>
    </row>
    <row r="26" customFormat="false" ht="23.25" hidden="false" customHeight="true" outlineLevel="0" collapsed="false">
      <c r="A26" s="26" t="s">
        <v>207</v>
      </c>
      <c r="B26" s="34" t="s">
        <v>64</v>
      </c>
      <c r="C26" s="28" t="s">
        <v>167</v>
      </c>
      <c r="D26" s="29" t="s">
        <v>208</v>
      </c>
      <c r="E26" s="28" t="s">
        <v>209</v>
      </c>
      <c r="F26" s="28" t="s">
        <v>210</v>
      </c>
      <c r="G26" s="30" t="s">
        <v>93</v>
      </c>
      <c r="H26" s="31" t="s">
        <v>12</v>
      </c>
      <c r="I26" s="32" t="n">
        <v>46298</v>
      </c>
      <c r="J26" s="33" t="s">
        <v>211</v>
      </c>
    </row>
    <row r="27" customFormat="false" ht="23.25" hidden="false" customHeight="true" outlineLevel="0" collapsed="false">
      <c r="A27" s="26" t="s">
        <v>212</v>
      </c>
      <c r="B27" s="34" t="s">
        <v>64</v>
      </c>
      <c r="C27" s="28" t="s">
        <v>167</v>
      </c>
      <c r="D27" s="29" t="s">
        <v>40</v>
      </c>
      <c r="E27" s="28" t="s">
        <v>213</v>
      </c>
      <c r="F27" s="28" t="s">
        <v>214</v>
      </c>
      <c r="G27" s="30" t="s">
        <v>133</v>
      </c>
      <c r="H27" s="31" t="s">
        <v>61</v>
      </c>
      <c r="I27" s="32"/>
      <c r="J27" s="33"/>
    </row>
    <row r="28" customFormat="false" ht="34.5" hidden="false" customHeight="true" outlineLevel="0" collapsed="false">
      <c r="A28" s="26" t="s">
        <v>215</v>
      </c>
      <c r="B28" s="34" t="s">
        <v>64</v>
      </c>
      <c r="C28" s="28" t="s">
        <v>167</v>
      </c>
      <c r="D28" s="29" t="s">
        <v>216</v>
      </c>
      <c r="E28" s="28" t="s">
        <v>217</v>
      </c>
      <c r="F28" s="28" t="s">
        <v>218</v>
      </c>
      <c r="G28" s="30" t="s">
        <v>133</v>
      </c>
      <c r="H28" s="31" t="s">
        <v>61</v>
      </c>
      <c r="I28" s="32"/>
      <c r="J28" s="33" t="s">
        <v>219</v>
      </c>
    </row>
    <row r="29" customFormat="false" ht="23.25" hidden="false" customHeight="true" outlineLevel="0" collapsed="false">
      <c r="A29" s="26" t="s">
        <v>220</v>
      </c>
      <c r="B29" s="34" t="s">
        <v>64</v>
      </c>
      <c r="C29" s="28" t="s">
        <v>181</v>
      </c>
      <c r="D29" s="29" t="s">
        <v>221</v>
      </c>
      <c r="E29" s="28" t="s">
        <v>222</v>
      </c>
      <c r="F29" s="28" t="s">
        <v>223</v>
      </c>
      <c r="G29" s="30" t="s">
        <v>133</v>
      </c>
      <c r="H29" s="31" t="s">
        <v>61</v>
      </c>
      <c r="I29" s="32"/>
      <c r="J29" s="33" t="s">
        <v>224</v>
      </c>
    </row>
    <row r="30" customFormat="false" ht="23.25" hidden="false" customHeight="true" outlineLevel="0" collapsed="false">
      <c r="A30" s="26" t="s">
        <v>225</v>
      </c>
      <c r="B30" s="34" t="s">
        <v>64</v>
      </c>
      <c r="C30" s="28" t="s">
        <v>167</v>
      </c>
      <c r="D30" s="29" t="s">
        <v>226</v>
      </c>
      <c r="E30" s="28" t="s">
        <v>227</v>
      </c>
      <c r="F30" s="28" t="s">
        <v>228</v>
      </c>
      <c r="G30" s="30" t="s">
        <v>133</v>
      </c>
      <c r="H30" s="31" t="s">
        <v>61</v>
      </c>
      <c r="I30" s="32"/>
      <c r="J30" s="33"/>
    </row>
    <row r="31" customFormat="false" ht="68.25" hidden="false" customHeight="true" outlineLevel="0" collapsed="false">
      <c r="A31" s="26" t="s">
        <v>229</v>
      </c>
      <c r="B31" s="34" t="s">
        <v>64</v>
      </c>
      <c r="C31" s="28" t="s">
        <v>167</v>
      </c>
      <c r="D31" s="29" t="s">
        <v>230</v>
      </c>
      <c r="E31" s="28" t="s">
        <v>231</v>
      </c>
      <c r="F31" s="28" t="s">
        <v>232</v>
      </c>
      <c r="G31" s="30" t="s">
        <v>93</v>
      </c>
      <c r="H31" s="31" t="s">
        <v>59</v>
      </c>
      <c r="I31" s="32"/>
      <c r="J31" s="33" t="s">
        <v>233</v>
      </c>
    </row>
    <row r="32" customFormat="false" ht="34.5" hidden="false" customHeight="true" outlineLevel="0" collapsed="false">
      <c r="A32" s="26" t="s">
        <v>234</v>
      </c>
      <c r="B32" s="34" t="s">
        <v>64</v>
      </c>
      <c r="C32" s="28" t="s">
        <v>139</v>
      </c>
      <c r="D32" s="29" t="s">
        <v>235</v>
      </c>
      <c r="E32" s="28" t="s">
        <v>236</v>
      </c>
      <c r="F32" s="28" t="s">
        <v>237</v>
      </c>
      <c r="G32" s="30" t="s">
        <v>93</v>
      </c>
      <c r="H32" s="31" t="s">
        <v>12</v>
      </c>
      <c r="I32" s="32" t="n">
        <v>46298</v>
      </c>
      <c r="J32" s="33" t="s">
        <v>238</v>
      </c>
    </row>
    <row r="33" customFormat="false" ht="34.5" hidden="false" customHeight="true" outlineLevel="0" collapsed="false">
      <c r="A33" s="26" t="s">
        <v>239</v>
      </c>
      <c r="B33" s="34" t="s">
        <v>64</v>
      </c>
      <c r="C33" s="28" t="s">
        <v>167</v>
      </c>
      <c r="D33" s="29" t="s">
        <v>240</v>
      </c>
      <c r="E33" s="28" t="s">
        <v>241</v>
      </c>
      <c r="F33" s="28" t="s">
        <v>242</v>
      </c>
      <c r="G33" s="30" t="s">
        <v>93</v>
      </c>
      <c r="H33" s="31" t="s">
        <v>59</v>
      </c>
      <c r="I33" s="32"/>
      <c r="J33" s="33" t="s">
        <v>243</v>
      </c>
    </row>
    <row r="34" customFormat="false" ht="23.25" hidden="false" customHeight="true" outlineLevel="0" collapsed="false">
      <c r="A34" s="26" t="s">
        <v>244</v>
      </c>
      <c r="B34" s="34" t="s">
        <v>64</v>
      </c>
      <c r="C34" s="28" t="s">
        <v>167</v>
      </c>
      <c r="D34" s="29" t="s">
        <v>245</v>
      </c>
      <c r="E34" s="28" t="s">
        <v>246</v>
      </c>
      <c r="F34" s="28" t="s">
        <v>247</v>
      </c>
      <c r="G34" s="30" t="s">
        <v>93</v>
      </c>
      <c r="H34" s="31" t="s">
        <v>59</v>
      </c>
      <c r="I34" s="32"/>
      <c r="J34" s="33" t="s">
        <v>248</v>
      </c>
    </row>
    <row r="35" customFormat="false" ht="23.25" hidden="false" customHeight="true" outlineLevel="0" collapsed="false">
      <c r="A35" s="26" t="s">
        <v>249</v>
      </c>
      <c r="B35" s="34" t="s">
        <v>64</v>
      </c>
      <c r="C35" s="28" t="s">
        <v>167</v>
      </c>
      <c r="D35" s="29" t="s">
        <v>250</v>
      </c>
      <c r="E35" s="28" t="s">
        <v>251</v>
      </c>
      <c r="F35" s="28" t="s">
        <v>252</v>
      </c>
      <c r="G35" s="30" t="s">
        <v>93</v>
      </c>
      <c r="H35" s="31" t="s">
        <v>59</v>
      </c>
      <c r="I35" s="32"/>
      <c r="J35" s="33" t="s">
        <v>253</v>
      </c>
    </row>
    <row r="36" customFormat="false" ht="45.75" hidden="false" customHeight="true" outlineLevel="0" collapsed="false">
      <c r="A36" s="26" t="s">
        <v>254</v>
      </c>
      <c r="B36" s="34" t="s">
        <v>64</v>
      </c>
      <c r="C36" s="28" t="s">
        <v>129</v>
      </c>
      <c r="D36" s="29" t="s">
        <v>255</v>
      </c>
      <c r="E36" s="28" t="s">
        <v>256</v>
      </c>
      <c r="F36" s="28" t="s">
        <v>257</v>
      </c>
      <c r="G36" s="30" t="s">
        <v>93</v>
      </c>
      <c r="H36" s="31" t="s">
        <v>59</v>
      </c>
      <c r="I36" s="32"/>
      <c r="J36" s="33" t="s">
        <v>258</v>
      </c>
    </row>
    <row r="37" customFormat="false" ht="45.75" hidden="false" customHeight="true" outlineLevel="0" collapsed="false">
      <c r="A37" s="26" t="s">
        <v>259</v>
      </c>
      <c r="B37" s="34" t="s">
        <v>64</v>
      </c>
      <c r="C37" s="28" t="s">
        <v>139</v>
      </c>
      <c r="D37" s="29" t="s">
        <v>260</v>
      </c>
      <c r="E37" s="28" t="s">
        <v>261</v>
      </c>
      <c r="F37" s="28" t="s">
        <v>262</v>
      </c>
      <c r="G37" s="30" t="s">
        <v>133</v>
      </c>
      <c r="H37" s="31" t="s">
        <v>12</v>
      </c>
      <c r="I37" s="32" t="n">
        <v>46298</v>
      </c>
      <c r="J37" s="33" t="s">
        <v>263</v>
      </c>
    </row>
    <row r="38" customFormat="false" ht="45.75" hidden="false" customHeight="true" outlineLevel="0" collapsed="false">
      <c r="A38" s="26" t="s">
        <v>264</v>
      </c>
      <c r="B38" s="34" t="s">
        <v>64</v>
      </c>
      <c r="C38" s="28" t="s">
        <v>167</v>
      </c>
      <c r="D38" s="29" t="s">
        <v>265</v>
      </c>
      <c r="E38" s="28" t="s">
        <v>266</v>
      </c>
      <c r="F38" s="28" t="s">
        <v>267</v>
      </c>
      <c r="G38" s="30" t="s">
        <v>93</v>
      </c>
      <c r="H38" s="31" t="s">
        <v>59</v>
      </c>
      <c r="I38" s="32"/>
      <c r="J38" s="33" t="s">
        <v>268</v>
      </c>
    </row>
    <row r="39" customFormat="false" ht="34.5" hidden="false" customHeight="true" outlineLevel="0" collapsed="false">
      <c r="A39" s="26" t="s">
        <v>269</v>
      </c>
      <c r="B39" s="34" t="s">
        <v>64</v>
      </c>
      <c r="C39" s="28" t="s">
        <v>139</v>
      </c>
      <c r="D39" s="29" t="s">
        <v>270</v>
      </c>
      <c r="E39" s="28" t="s">
        <v>271</v>
      </c>
      <c r="F39" s="28" t="s">
        <v>272</v>
      </c>
      <c r="G39" s="30" t="s">
        <v>93</v>
      </c>
      <c r="H39" s="31" t="s">
        <v>59</v>
      </c>
      <c r="I39" s="32"/>
      <c r="J39" s="33" t="s">
        <v>273</v>
      </c>
    </row>
    <row r="40" customFormat="false" ht="45.75" hidden="false" customHeight="true" outlineLevel="0" collapsed="false">
      <c r="A40" s="26" t="s">
        <v>274</v>
      </c>
      <c r="B40" s="34" t="s">
        <v>64</v>
      </c>
      <c r="C40" s="28" t="s">
        <v>275</v>
      </c>
      <c r="D40" s="29" t="s">
        <v>276</v>
      </c>
      <c r="E40" s="28" t="s">
        <v>277</v>
      </c>
      <c r="F40" s="28" t="s">
        <v>278</v>
      </c>
      <c r="G40" s="30" t="s">
        <v>93</v>
      </c>
      <c r="H40" s="31" t="s">
        <v>61</v>
      </c>
      <c r="I40" s="32"/>
      <c r="J40" s="33" t="s">
        <v>279</v>
      </c>
    </row>
    <row r="41" customFormat="false" ht="34.5" hidden="false" customHeight="true" outlineLevel="0" collapsed="false">
      <c r="A41" s="26" t="s">
        <v>280</v>
      </c>
      <c r="B41" s="34" t="s">
        <v>64</v>
      </c>
      <c r="C41" s="28" t="s">
        <v>167</v>
      </c>
      <c r="D41" s="29" t="s">
        <v>281</v>
      </c>
      <c r="E41" s="28" t="s">
        <v>282</v>
      </c>
      <c r="F41" s="28" t="s">
        <v>283</v>
      </c>
      <c r="G41" s="30" t="s">
        <v>93</v>
      </c>
      <c r="H41" s="31" t="s">
        <v>59</v>
      </c>
      <c r="I41" s="32"/>
      <c r="J41" s="33" t="s">
        <v>284</v>
      </c>
    </row>
    <row r="42" customFormat="false" ht="23.25" hidden="false" customHeight="true" outlineLevel="0" collapsed="false">
      <c r="A42" s="26" t="s">
        <v>285</v>
      </c>
      <c r="B42" s="35" t="s">
        <v>65</v>
      </c>
      <c r="C42" s="28" t="s">
        <v>167</v>
      </c>
      <c r="D42" s="29" t="s">
        <v>286</v>
      </c>
      <c r="E42" s="28" t="s">
        <v>287</v>
      </c>
      <c r="F42" s="28" t="s">
        <v>288</v>
      </c>
      <c r="G42" s="30" t="s">
        <v>93</v>
      </c>
      <c r="H42" s="31" t="s">
        <v>12</v>
      </c>
      <c r="I42" s="32" t="n">
        <v>46298</v>
      </c>
      <c r="J42" s="33" t="s">
        <v>289</v>
      </c>
    </row>
    <row r="43" customFormat="false" ht="23.25" hidden="false" customHeight="true" outlineLevel="0" collapsed="false">
      <c r="A43" s="26" t="s">
        <v>290</v>
      </c>
      <c r="B43" s="35" t="s">
        <v>65</v>
      </c>
      <c r="C43" s="28" t="s">
        <v>167</v>
      </c>
      <c r="D43" s="29" t="s">
        <v>291</v>
      </c>
      <c r="E43" s="28" t="s">
        <v>292</v>
      </c>
      <c r="F43" s="28" t="s">
        <v>293</v>
      </c>
      <c r="G43" s="30" t="s">
        <v>93</v>
      </c>
      <c r="H43" s="31" t="s">
        <v>61</v>
      </c>
      <c r="I43" s="32"/>
      <c r="J43" s="33"/>
    </row>
    <row r="44" customFormat="false" ht="23.25" hidden="false" customHeight="true" outlineLevel="0" collapsed="false">
      <c r="A44" s="26" t="s">
        <v>294</v>
      </c>
      <c r="B44" s="35" t="s">
        <v>65</v>
      </c>
      <c r="C44" s="28" t="s">
        <v>167</v>
      </c>
      <c r="D44" s="29" t="s">
        <v>295</v>
      </c>
      <c r="E44" s="28" t="s">
        <v>296</v>
      </c>
      <c r="F44" s="28" t="s">
        <v>297</v>
      </c>
      <c r="G44" s="30" t="s">
        <v>93</v>
      </c>
      <c r="H44" s="31" t="s">
        <v>61</v>
      </c>
      <c r="I44" s="32"/>
      <c r="J44" s="33"/>
    </row>
    <row r="45" customFormat="false" ht="45.75" hidden="false" customHeight="true" outlineLevel="0" collapsed="false">
      <c r="A45" s="26" t="s">
        <v>298</v>
      </c>
      <c r="B45" s="35" t="s">
        <v>65</v>
      </c>
      <c r="C45" s="28" t="s">
        <v>129</v>
      </c>
      <c r="D45" s="29" t="s">
        <v>299</v>
      </c>
      <c r="E45" s="28" t="s">
        <v>300</v>
      </c>
      <c r="F45" s="28" t="s">
        <v>301</v>
      </c>
      <c r="G45" s="30" t="s">
        <v>93</v>
      </c>
      <c r="H45" s="31" t="s">
        <v>61</v>
      </c>
      <c r="I45" s="32"/>
      <c r="J45" s="33" t="s">
        <v>302</v>
      </c>
    </row>
    <row r="46" customFormat="false" ht="23.25" hidden="false" customHeight="true" outlineLevel="0" collapsed="false">
      <c r="A46" s="26" t="s">
        <v>303</v>
      </c>
      <c r="B46" s="35" t="s">
        <v>65</v>
      </c>
      <c r="C46" s="28" t="s">
        <v>167</v>
      </c>
      <c r="D46" s="29" t="s">
        <v>304</v>
      </c>
      <c r="E46" s="28" t="s">
        <v>305</v>
      </c>
      <c r="F46" s="28" t="s">
        <v>306</v>
      </c>
      <c r="G46" s="30" t="s">
        <v>93</v>
      </c>
      <c r="H46" s="31" t="s">
        <v>61</v>
      </c>
      <c r="I46" s="32"/>
      <c r="J46" s="33"/>
    </row>
    <row r="47" customFormat="false" ht="15" hidden="false" customHeight="true" outlineLevel="0" collapsed="false">
      <c r="A47" s="26" t="s">
        <v>307</v>
      </c>
      <c r="B47" s="35" t="s">
        <v>65</v>
      </c>
      <c r="C47" s="28" t="s">
        <v>167</v>
      </c>
      <c r="D47" s="29" t="s">
        <v>308</v>
      </c>
      <c r="E47" s="28" t="s">
        <v>309</v>
      </c>
      <c r="F47" s="28" t="s">
        <v>310</v>
      </c>
      <c r="G47" s="30" t="s">
        <v>93</v>
      </c>
      <c r="H47" s="31" t="s">
        <v>61</v>
      </c>
      <c r="I47" s="32"/>
      <c r="J47" s="33"/>
    </row>
    <row r="48" customFormat="false" ht="23.25" hidden="false" customHeight="true" outlineLevel="0" collapsed="false">
      <c r="A48" s="26" t="s">
        <v>311</v>
      </c>
      <c r="B48" s="35" t="s">
        <v>65</v>
      </c>
      <c r="C48" s="28" t="s">
        <v>139</v>
      </c>
      <c r="D48" s="29" t="s">
        <v>312</v>
      </c>
      <c r="E48" s="28" t="s">
        <v>313</v>
      </c>
      <c r="F48" s="28" t="s">
        <v>314</v>
      </c>
      <c r="G48" s="30" t="s">
        <v>133</v>
      </c>
      <c r="H48" s="31" t="s">
        <v>61</v>
      </c>
      <c r="I48" s="32"/>
      <c r="J48" s="33" t="s">
        <v>315</v>
      </c>
    </row>
    <row r="49" customFormat="false" ht="23.25" hidden="false" customHeight="true" outlineLevel="0" collapsed="false">
      <c r="A49" s="26" t="s">
        <v>316</v>
      </c>
      <c r="B49" s="35" t="s">
        <v>65</v>
      </c>
      <c r="C49" s="28" t="s">
        <v>139</v>
      </c>
      <c r="D49" s="29" t="s">
        <v>317</v>
      </c>
      <c r="E49" s="28" t="s">
        <v>318</v>
      </c>
      <c r="F49" s="28" t="s">
        <v>319</v>
      </c>
      <c r="G49" s="30" t="s">
        <v>133</v>
      </c>
      <c r="H49" s="31" t="s">
        <v>61</v>
      </c>
      <c r="I49" s="32"/>
      <c r="J49" s="33"/>
    </row>
    <row r="50" customFormat="false" ht="15" hidden="false" customHeight="true" outlineLevel="0" collapsed="false">
      <c r="A50" s="26" t="s">
        <v>320</v>
      </c>
      <c r="B50" s="35" t="s">
        <v>65</v>
      </c>
      <c r="C50" s="28" t="s">
        <v>139</v>
      </c>
      <c r="D50" s="29" t="s">
        <v>321</v>
      </c>
      <c r="E50" s="28" t="s">
        <v>322</v>
      </c>
      <c r="F50" s="28" t="s">
        <v>323</v>
      </c>
      <c r="G50" s="30" t="s">
        <v>133</v>
      </c>
      <c r="H50" s="31" t="s">
        <v>61</v>
      </c>
      <c r="I50" s="32"/>
      <c r="J50" s="33"/>
    </row>
    <row r="51" customFormat="false" ht="45.75" hidden="false" customHeight="true" outlineLevel="0" collapsed="false">
      <c r="A51" s="26" t="s">
        <v>324</v>
      </c>
      <c r="B51" s="35" t="s">
        <v>65</v>
      </c>
      <c r="C51" s="28" t="s">
        <v>325</v>
      </c>
      <c r="D51" s="29" t="s">
        <v>326</v>
      </c>
      <c r="E51" s="28" t="s">
        <v>327</v>
      </c>
      <c r="F51" s="28" t="s">
        <v>328</v>
      </c>
      <c r="G51" s="30" t="s">
        <v>93</v>
      </c>
      <c r="H51" s="31" t="s">
        <v>59</v>
      </c>
      <c r="I51" s="32"/>
      <c r="J51" s="33" t="s">
        <v>329</v>
      </c>
    </row>
    <row r="52" customFormat="false" ht="23.25" hidden="false" customHeight="true" outlineLevel="0" collapsed="false">
      <c r="A52" s="26" t="s">
        <v>330</v>
      </c>
      <c r="B52" s="35" t="s">
        <v>65</v>
      </c>
      <c r="C52" s="28" t="s">
        <v>167</v>
      </c>
      <c r="D52" s="29" t="s">
        <v>331</v>
      </c>
      <c r="E52" s="28" t="s">
        <v>332</v>
      </c>
      <c r="F52" s="28" t="s">
        <v>333</v>
      </c>
      <c r="G52" s="30" t="s">
        <v>133</v>
      </c>
      <c r="H52" s="31" t="s">
        <v>59</v>
      </c>
      <c r="I52" s="32"/>
      <c r="J52" s="33" t="s">
        <v>334</v>
      </c>
    </row>
    <row r="53" customFormat="false" ht="23.25" hidden="false" customHeight="true" outlineLevel="0" collapsed="false">
      <c r="A53" s="26" t="s">
        <v>335</v>
      </c>
      <c r="B53" s="36" t="s">
        <v>66</v>
      </c>
      <c r="C53" s="28" t="s">
        <v>167</v>
      </c>
      <c r="D53" s="29" t="s">
        <v>336</v>
      </c>
      <c r="E53" s="28" t="s">
        <v>337</v>
      </c>
      <c r="F53" s="28" t="s">
        <v>338</v>
      </c>
      <c r="G53" s="30" t="s">
        <v>93</v>
      </c>
      <c r="H53" s="31" t="s">
        <v>12</v>
      </c>
      <c r="I53" s="32" t="n">
        <v>46298</v>
      </c>
      <c r="J53" s="33" t="s">
        <v>339</v>
      </c>
    </row>
    <row r="54" customFormat="false" ht="23.25" hidden="false" customHeight="true" outlineLevel="0" collapsed="false">
      <c r="A54" s="26" t="s">
        <v>340</v>
      </c>
      <c r="B54" s="36" t="s">
        <v>66</v>
      </c>
      <c r="C54" s="28" t="s">
        <v>167</v>
      </c>
      <c r="D54" s="29" t="s">
        <v>341</v>
      </c>
      <c r="E54" s="28" t="s">
        <v>342</v>
      </c>
      <c r="F54" s="28" t="s">
        <v>343</v>
      </c>
      <c r="G54" s="30" t="s">
        <v>133</v>
      </c>
      <c r="H54" s="31" t="s">
        <v>61</v>
      </c>
      <c r="I54" s="32"/>
      <c r="J54" s="33"/>
    </row>
    <row r="55" customFormat="false" ht="34.5" hidden="false" customHeight="true" outlineLevel="0" collapsed="false">
      <c r="A55" s="26" t="s">
        <v>344</v>
      </c>
      <c r="B55" s="36" t="s">
        <v>66</v>
      </c>
      <c r="C55" s="28" t="s">
        <v>129</v>
      </c>
      <c r="D55" s="29" t="s">
        <v>46</v>
      </c>
      <c r="E55" s="28" t="s">
        <v>345</v>
      </c>
      <c r="F55" s="28" t="s">
        <v>346</v>
      </c>
      <c r="G55" s="30" t="s">
        <v>93</v>
      </c>
      <c r="H55" s="31" t="s">
        <v>61</v>
      </c>
      <c r="I55" s="32"/>
      <c r="J55" s="33"/>
    </row>
    <row r="56" customFormat="false" ht="15" hidden="false" customHeight="true" outlineLevel="0" collapsed="false">
      <c r="A56" s="26" t="s">
        <v>347</v>
      </c>
      <c r="B56" s="36" t="s">
        <v>66</v>
      </c>
      <c r="C56" s="28" t="s">
        <v>167</v>
      </c>
      <c r="D56" s="29" t="s">
        <v>348</v>
      </c>
      <c r="E56" s="28" t="s">
        <v>349</v>
      </c>
      <c r="F56" s="28" t="s">
        <v>350</v>
      </c>
      <c r="G56" s="30" t="s">
        <v>93</v>
      </c>
      <c r="H56" s="31" t="s">
        <v>61</v>
      </c>
      <c r="I56" s="32"/>
      <c r="J56" s="33"/>
    </row>
    <row r="57" customFormat="false" ht="23.25" hidden="false" customHeight="true" outlineLevel="0" collapsed="false">
      <c r="A57" s="26" t="s">
        <v>351</v>
      </c>
      <c r="B57" s="36" t="s">
        <v>66</v>
      </c>
      <c r="C57" s="28" t="s">
        <v>167</v>
      </c>
      <c r="D57" s="29" t="s">
        <v>352</v>
      </c>
      <c r="E57" s="28" t="s">
        <v>353</v>
      </c>
      <c r="F57" s="28" t="s">
        <v>354</v>
      </c>
      <c r="G57" s="30" t="s">
        <v>133</v>
      </c>
      <c r="H57" s="31" t="s">
        <v>61</v>
      </c>
      <c r="I57" s="32"/>
      <c r="J57" s="33"/>
    </row>
    <row r="58" customFormat="false" ht="23.25" hidden="false" customHeight="true" outlineLevel="0" collapsed="false">
      <c r="A58" s="26" t="s">
        <v>355</v>
      </c>
      <c r="B58" s="36" t="s">
        <v>66</v>
      </c>
      <c r="C58" s="28" t="s">
        <v>167</v>
      </c>
      <c r="D58" s="29" t="s">
        <v>356</v>
      </c>
      <c r="E58" s="28" t="s">
        <v>357</v>
      </c>
      <c r="F58" s="28" t="s">
        <v>358</v>
      </c>
      <c r="G58" s="30" t="s">
        <v>133</v>
      </c>
      <c r="H58" s="31" t="s">
        <v>61</v>
      </c>
      <c r="I58" s="32"/>
      <c r="J58" s="33"/>
    </row>
    <row r="59" customFormat="false" ht="34.5" hidden="false" customHeight="true" outlineLevel="0" collapsed="false">
      <c r="A59" s="26" t="s">
        <v>359</v>
      </c>
      <c r="B59" s="36" t="s">
        <v>66</v>
      </c>
      <c r="C59" s="28" t="s">
        <v>167</v>
      </c>
      <c r="D59" s="29" t="s">
        <v>360</v>
      </c>
      <c r="E59" s="28" t="s">
        <v>361</v>
      </c>
      <c r="F59" s="28" t="s">
        <v>362</v>
      </c>
      <c r="G59" s="30" t="s">
        <v>133</v>
      </c>
      <c r="H59" s="31" t="s">
        <v>12</v>
      </c>
      <c r="I59" s="32" t="n">
        <v>46298</v>
      </c>
      <c r="J59" s="33" t="s">
        <v>363</v>
      </c>
    </row>
    <row r="60" customFormat="false" ht="23.25" hidden="false" customHeight="true" outlineLevel="0" collapsed="false">
      <c r="A60" s="26" t="s">
        <v>364</v>
      </c>
      <c r="B60" s="36" t="s">
        <v>66</v>
      </c>
      <c r="C60" s="28" t="s">
        <v>139</v>
      </c>
      <c r="D60" s="29" t="s">
        <v>365</v>
      </c>
      <c r="E60" s="28" t="s">
        <v>366</v>
      </c>
      <c r="F60" s="28" t="s">
        <v>367</v>
      </c>
      <c r="G60" s="30" t="s">
        <v>133</v>
      </c>
      <c r="H60" s="31" t="s">
        <v>61</v>
      </c>
      <c r="I60" s="32"/>
      <c r="J60" s="33"/>
    </row>
    <row r="61" customFormat="false" ht="15" hidden="false" customHeight="true" outlineLevel="0" collapsed="false">
      <c r="A61" s="26" t="s">
        <v>368</v>
      </c>
      <c r="B61" s="36" t="s">
        <v>66</v>
      </c>
      <c r="C61" s="28" t="s">
        <v>167</v>
      </c>
      <c r="D61" s="29" t="s">
        <v>369</v>
      </c>
      <c r="E61" s="28" t="s">
        <v>370</v>
      </c>
      <c r="F61" s="28" t="s">
        <v>371</v>
      </c>
      <c r="G61" s="30" t="s">
        <v>143</v>
      </c>
      <c r="H61" s="31" t="s">
        <v>61</v>
      </c>
      <c r="I61" s="32"/>
      <c r="J61" s="33"/>
    </row>
    <row r="62" customFormat="false" ht="15" hidden="false" customHeight="true" outlineLevel="0" collapsed="false">
      <c r="A62" s="26" t="s">
        <v>372</v>
      </c>
      <c r="B62" s="36" t="s">
        <v>66</v>
      </c>
      <c r="C62" s="28" t="s">
        <v>167</v>
      </c>
      <c r="D62" s="29" t="s">
        <v>373</v>
      </c>
      <c r="E62" s="28" t="s">
        <v>374</v>
      </c>
      <c r="F62" s="28" t="s">
        <v>375</v>
      </c>
      <c r="G62" s="30" t="s">
        <v>133</v>
      </c>
      <c r="H62" s="31" t="s">
        <v>12</v>
      </c>
      <c r="I62" s="32" t="n">
        <v>46298</v>
      </c>
      <c r="J62" s="33" t="s">
        <v>376</v>
      </c>
    </row>
    <row r="63" customFormat="false" ht="15" hidden="false" customHeight="true" outlineLevel="0" collapsed="false">
      <c r="A63" s="26" t="s">
        <v>377</v>
      </c>
      <c r="B63" s="37" t="s">
        <v>67</v>
      </c>
      <c r="C63" s="28" t="s">
        <v>167</v>
      </c>
      <c r="D63" s="29" t="s">
        <v>378</v>
      </c>
      <c r="E63" s="28" t="s">
        <v>379</v>
      </c>
      <c r="F63" s="28" t="s">
        <v>380</v>
      </c>
      <c r="G63" s="30" t="s">
        <v>93</v>
      </c>
      <c r="H63" s="31" t="s">
        <v>61</v>
      </c>
      <c r="I63" s="32"/>
      <c r="J63" s="33"/>
    </row>
    <row r="64" customFormat="false" ht="23.25" hidden="false" customHeight="true" outlineLevel="0" collapsed="false">
      <c r="A64" s="26" t="s">
        <v>381</v>
      </c>
      <c r="B64" s="37" t="s">
        <v>67</v>
      </c>
      <c r="C64" s="28" t="s">
        <v>382</v>
      </c>
      <c r="D64" s="29" t="s">
        <v>383</v>
      </c>
      <c r="E64" s="28" t="s">
        <v>384</v>
      </c>
      <c r="F64" s="28" t="s">
        <v>385</v>
      </c>
      <c r="G64" s="30" t="s">
        <v>93</v>
      </c>
      <c r="H64" s="31" t="s">
        <v>61</v>
      </c>
      <c r="I64" s="32"/>
      <c r="J64" s="33"/>
    </row>
    <row r="65" customFormat="false" ht="23.25" hidden="false" customHeight="true" outlineLevel="0" collapsed="false">
      <c r="A65" s="26" t="s">
        <v>386</v>
      </c>
      <c r="B65" s="37" t="s">
        <v>67</v>
      </c>
      <c r="C65" s="28" t="s">
        <v>387</v>
      </c>
      <c r="D65" s="29" t="s">
        <v>388</v>
      </c>
      <c r="E65" s="28" t="s">
        <v>389</v>
      </c>
      <c r="F65" s="28" t="s">
        <v>390</v>
      </c>
      <c r="G65" s="30" t="s">
        <v>93</v>
      </c>
      <c r="H65" s="31" t="s">
        <v>61</v>
      </c>
      <c r="I65" s="32"/>
      <c r="J65" s="33"/>
    </row>
    <row r="66" customFormat="false" ht="23.25" hidden="false" customHeight="true" outlineLevel="0" collapsed="false">
      <c r="A66" s="26" t="s">
        <v>391</v>
      </c>
      <c r="B66" s="37" t="s">
        <v>67</v>
      </c>
      <c r="C66" s="28" t="s">
        <v>392</v>
      </c>
      <c r="D66" s="29" t="s">
        <v>393</v>
      </c>
      <c r="E66" s="28" t="s">
        <v>394</v>
      </c>
      <c r="F66" s="28" t="s">
        <v>395</v>
      </c>
      <c r="G66" s="30" t="s">
        <v>93</v>
      </c>
      <c r="H66" s="31" t="s">
        <v>61</v>
      </c>
      <c r="I66" s="32"/>
      <c r="J66" s="33"/>
    </row>
    <row r="67" customFormat="false" ht="15" hidden="false" customHeight="true" outlineLevel="0" collapsed="false">
      <c r="A67" s="26" t="s">
        <v>396</v>
      </c>
      <c r="B67" s="37" t="s">
        <v>67</v>
      </c>
      <c r="C67" s="28" t="s">
        <v>167</v>
      </c>
      <c r="D67" s="29" t="s">
        <v>397</v>
      </c>
      <c r="E67" s="28" t="s">
        <v>398</v>
      </c>
      <c r="F67" s="28" t="s">
        <v>399</v>
      </c>
      <c r="G67" s="30" t="s">
        <v>133</v>
      </c>
      <c r="H67" s="31" t="s">
        <v>61</v>
      </c>
      <c r="I67" s="32"/>
      <c r="J67" s="33"/>
    </row>
    <row r="68" customFormat="false" ht="23.25" hidden="false" customHeight="true" outlineLevel="0" collapsed="false">
      <c r="A68" s="26" t="s">
        <v>400</v>
      </c>
      <c r="B68" s="37" t="s">
        <v>67</v>
      </c>
      <c r="C68" s="28" t="s">
        <v>139</v>
      </c>
      <c r="D68" s="29" t="s">
        <v>401</v>
      </c>
      <c r="E68" s="28" t="s">
        <v>402</v>
      </c>
      <c r="F68" s="28" t="s">
        <v>403</v>
      </c>
      <c r="G68" s="30" t="s">
        <v>93</v>
      </c>
      <c r="H68" s="31" t="s">
        <v>61</v>
      </c>
      <c r="I68" s="32"/>
      <c r="J68" s="33"/>
    </row>
    <row r="69" customFormat="false" ht="23.25" hidden="false" customHeight="true" outlineLevel="0" collapsed="false">
      <c r="A69" s="26" t="s">
        <v>404</v>
      </c>
      <c r="B69" s="37" t="s">
        <v>67</v>
      </c>
      <c r="C69" s="28" t="s">
        <v>382</v>
      </c>
      <c r="D69" s="29" t="s">
        <v>405</v>
      </c>
      <c r="E69" s="28" t="s">
        <v>406</v>
      </c>
      <c r="F69" s="28" t="s">
        <v>407</v>
      </c>
      <c r="G69" s="30" t="s">
        <v>133</v>
      </c>
      <c r="H69" s="31" t="s">
        <v>61</v>
      </c>
      <c r="I69" s="32"/>
      <c r="J69" s="33"/>
    </row>
    <row r="70" customFormat="false" ht="23.25" hidden="false" customHeight="true" outlineLevel="0" collapsed="false">
      <c r="A70" s="26" t="s">
        <v>408</v>
      </c>
      <c r="B70" s="37" t="s">
        <v>67</v>
      </c>
      <c r="C70" s="28" t="s">
        <v>392</v>
      </c>
      <c r="D70" s="29" t="s">
        <v>409</v>
      </c>
      <c r="E70" s="28" t="s">
        <v>410</v>
      </c>
      <c r="F70" s="28" t="s">
        <v>411</v>
      </c>
      <c r="G70" s="30" t="s">
        <v>143</v>
      </c>
      <c r="H70" s="31" t="s">
        <v>61</v>
      </c>
      <c r="I70" s="32"/>
      <c r="J70" s="33"/>
    </row>
    <row r="71" customFormat="false" ht="34.5" hidden="false" customHeight="true" outlineLevel="0" collapsed="false">
      <c r="A71" s="26" t="s">
        <v>412</v>
      </c>
      <c r="B71" s="37" t="s">
        <v>67</v>
      </c>
      <c r="C71" s="28" t="s">
        <v>413</v>
      </c>
      <c r="D71" s="29" t="s">
        <v>414</v>
      </c>
      <c r="E71" s="28" t="s">
        <v>415</v>
      </c>
      <c r="F71" s="28" t="s">
        <v>416</v>
      </c>
      <c r="G71" s="30" t="s">
        <v>93</v>
      </c>
      <c r="H71" s="31" t="s">
        <v>59</v>
      </c>
      <c r="I71" s="32"/>
      <c r="J71" s="33" t="s">
        <v>417</v>
      </c>
    </row>
    <row r="72" customFormat="false" ht="34.5" hidden="false" customHeight="true" outlineLevel="0" collapsed="false">
      <c r="A72" s="26" t="s">
        <v>418</v>
      </c>
      <c r="B72" s="38" t="s">
        <v>68</v>
      </c>
      <c r="C72" s="28" t="s">
        <v>167</v>
      </c>
      <c r="D72" s="29" t="s">
        <v>419</v>
      </c>
      <c r="E72" s="28" t="s">
        <v>420</v>
      </c>
      <c r="F72" s="28" t="s">
        <v>421</v>
      </c>
      <c r="G72" s="30" t="s">
        <v>93</v>
      </c>
      <c r="H72" s="31" t="s">
        <v>61</v>
      </c>
      <c r="I72" s="32"/>
      <c r="J72" s="33"/>
    </row>
    <row r="73" customFormat="false" ht="23.25" hidden="false" customHeight="true" outlineLevel="0" collapsed="false">
      <c r="A73" s="26" t="s">
        <v>422</v>
      </c>
      <c r="B73" s="38" t="s">
        <v>68</v>
      </c>
      <c r="C73" s="28" t="s">
        <v>167</v>
      </c>
      <c r="D73" s="29" t="s">
        <v>423</v>
      </c>
      <c r="E73" s="28" t="s">
        <v>424</v>
      </c>
      <c r="F73" s="28" t="s">
        <v>425</v>
      </c>
      <c r="G73" s="30" t="s">
        <v>93</v>
      </c>
      <c r="H73" s="31" t="s">
        <v>61</v>
      </c>
      <c r="I73" s="32"/>
      <c r="J73" s="33"/>
    </row>
    <row r="74" customFormat="false" ht="15" hidden="false" customHeight="true" outlineLevel="0" collapsed="false">
      <c r="A74" s="26" t="s">
        <v>426</v>
      </c>
      <c r="B74" s="38" t="s">
        <v>68</v>
      </c>
      <c r="C74" s="28" t="s">
        <v>139</v>
      </c>
      <c r="D74" s="29" t="s">
        <v>427</v>
      </c>
      <c r="E74" s="28" t="s">
        <v>428</v>
      </c>
      <c r="F74" s="28" t="s">
        <v>429</v>
      </c>
      <c r="G74" s="30" t="s">
        <v>93</v>
      </c>
      <c r="H74" s="31" t="s">
        <v>58</v>
      </c>
      <c r="I74" s="32" t="n">
        <v>46298</v>
      </c>
      <c r="J74" s="33" t="s">
        <v>430</v>
      </c>
    </row>
    <row r="75" customFormat="false" ht="23.25" hidden="false" customHeight="true" outlineLevel="0" collapsed="false">
      <c r="A75" s="26" t="s">
        <v>431</v>
      </c>
      <c r="B75" s="38" t="s">
        <v>68</v>
      </c>
      <c r="C75" s="28" t="s">
        <v>139</v>
      </c>
      <c r="D75" s="29" t="s">
        <v>432</v>
      </c>
      <c r="E75" s="28" t="s">
        <v>433</v>
      </c>
      <c r="F75" s="28" t="s">
        <v>434</v>
      </c>
      <c r="G75" s="30" t="s">
        <v>93</v>
      </c>
      <c r="H75" s="31" t="s">
        <v>61</v>
      </c>
      <c r="I75" s="32"/>
      <c r="J75" s="33"/>
    </row>
    <row r="76" customFormat="false" ht="23.25" hidden="false" customHeight="true" outlineLevel="0" collapsed="false">
      <c r="A76" s="26" t="s">
        <v>435</v>
      </c>
      <c r="B76" s="38" t="s">
        <v>68</v>
      </c>
      <c r="C76" s="28" t="s">
        <v>436</v>
      </c>
      <c r="D76" s="29" t="s">
        <v>437</v>
      </c>
      <c r="E76" s="28" t="s">
        <v>438</v>
      </c>
      <c r="F76" s="28" t="s">
        <v>439</v>
      </c>
      <c r="G76" s="30" t="s">
        <v>93</v>
      </c>
      <c r="H76" s="31" t="s">
        <v>61</v>
      </c>
      <c r="I76" s="32"/>
      <c r="J76" s="33"/>
    </row>
    <row r="77" customFormat="false" ht="15" hidden="false" customHeight="true" outlineLevel="0" collapsed="false">
      <c r="A77" s="26" t="s">
        <v>440</v>
      </c>
      <c r="B77" s="38" t="s">
        <v>68</v>
      </c>
      <c r="C77" s="28" t="s">
        <v>129</v>
      </c>
      <c r="D77" s="29" t="s">
        <v>441</v>
      </c>
      <c r="E77" s="28" t="s">
        <v>442</v>
      </c>
      <c r="F77" s="28" t="s">
        <v>443</v>
      </c>
      <c r="G77" s="30" t="s">
        <v>93</v>
      </c>
      <c r="H77" s="31" t="s">
        <v>61</v>
      </c>
      <c r="I77" s="32"/>
      <c r="J77" s="33"/>
    </row>
    <row r="78" customFormat="false" ht="15" hidden="false" customHeight="true" outlineLevel="0" collapsed="false">
      <c r="A78" s="26" t="s">
        <v>444</v>
      </c>
      <c r="B78" s="38" t="s">
        <v>68</v>
      </c>
      <c r="C78" s="28" t="s">
        <v>167</v>
      </c>
      <c r="D78" s="29" t="s">
        <v>445</v>
      </c>
      <c r="E78" s="28" t="s">
        <v>446</v>
      </c>
      <c r="F78" s="28" t="s">
        <v>447</v>
      </c>
      <c r="G78" s="30" t="s">
        <v>133</v>
      </c>
      <c r="H78" s="31" t="s">
        <v>61</v>
      </c>
      <c r="I78" s="32"/>
      <c r="J78" s="33"/>
    </row>
    <row r="79" customFormat="false" ht="23.25" hidden="false" customHeight="true" outlineLevel="0" collapsed="false">
      <c r="A79" s="26" t="s">
        <v>448</v>
      </c>
      <c r="B79" s="38" t="s">
        <v>68</v>
      </c>
      <c r="C79" s="28" t="s">
        <v>89</v>
      </c>
      <c r="D79" s="29" t="s">
        <v>449</v>
      </c>
      <c r="E79" s="28" t="s">
        <v>450</v>
      </c>
      <c r="F79" s="28" t="s">
        <v>451</v>
      </c>
      <c r="G79" s="30" t="s">
        <v>93</v>
      </c>
      <c r="H79" s="31" t="s">
        <v>61</v>
      </c>
      <c r="I79" s="32"/>
      <c r="J79" s="33" t="s">
        <v>452</v>
      </c>
    </row>
    <row r="80" customFormat="false" ht="23.25" hidden="false" customHeight="true" outlineLevel="0" collapsed="false">
      <c r="A80" s="26" t="s">
        <v>453</v>
      </c>
      <c r="B80" s="38" t="s">
        <v>68</v>
      </c>
      <c r="C80" s="28" t="s">
        <v>89</v>
      </c>
      <c r="D80" s="29" t="s">
        <v>454</v>
      </c>
      <c r="E80" s="28" t="s">
        <v>455</v>
      </c>
      <c r="F80" s="28" t="s">
        <v>456</v>
      </c>
      <c r="G80" s="30" t="s">
        <v>133</v>
      </c>
      <c r="H80" s="31" t="s">
        <v>61</v>
      </c>
      <c r="I80" s="32"/>
      <c r="J80" s="33"/>
    </row>
    <row r="81" customFormat="false" ht="23.25" hidden="false" customHeight="true" outlineLevel="0" collapsed="false">
      <c r="A81" s="26" t="s">
        <v>457</v>
      </c>
      <c r="B81" s="39" t="s">
        <v>69</v>
      </c>
      <c r="C81" s="28" t="s">
        <v>167</v>
      </c>
      <c r="D81" s="29" t="s">
        <v>458</v>
      </c>
      <c r="E81" s="28" t="s">
        <v>459</v>
      </c>
      <c r="F81" s="28" t="s">
        <v>460</v>
      </c>
      <c r="G81" s="30" t="s">
        <v>93</v>
      </c>
      <c r="H81" s="31" t="s">
        <v>61</v>
      </c>
      <c r="I81" s="32"/>
      <c r="J81" s="33"/>
    </row>
    <row r="82" customFormat="false" ht="23.25" hidden="false" customHeight="true" outlineLevel="0" collapsed="false">
      <c r="A82" s="26" t="s">
        <v>461</v>
      </c>
      <c r="B82" s="39" t="s">
        <v>69</v>
      </c>
      <c r="C82" s="28" t="s">
        <v>167</v>
      </c>
      <c r="D82" s="29" t="s">
        <v>462</v>
      </c>
      <c r="E82" s="28" t="s">
        <v>463</v>
      </c>
      <c r="F82" s="28" t="s">
        <v>464</v>
      </c>
      <c r="G82" s="30" t="s">
        <v>93</v>
      </c>
      <c r="H82" s="31" t="s">
        <v>61</v>
      </c>
      <c r="I82" s="32"/>
      <c r="J82" s="33"/>
    </row>
    <row r="83" customFormat="false" ht="15" hidden="false" customHeight="true" outlineLevel="0" collapsed="false">
      <c r="A83" s="26" t="s">
        <v>465</v>
      </c>
      <c r="B83" s="39" t="s">
        <v>69</v>
      </c>
      <c r="C83" s="28" t="s">
        <v>167</v>
      </c>
      <c r="D83" s="29" t="s">
        <v>466</v>
      </c>
      <c r="E83" s="28" t="s">
        <v>467</v>
      </c>
      <c r="F83" s="28" t="s">
        <v>399</v>
      </c>
      <c r="G83" s="30" t="s">
        <v>93</v>
      </c>
      <c r="H83" s="31" t="s">
        <v>61</v>
      </c>
      <c r="I83" s="32"/>
      <c r="J83" s="33"/>
    </row>
    <row r="84" customFormat="false" ht="23.25" hidden="false" customHeight="true" outlineLevel="0" collapsed="false">
      <c r="A84" s="26" t="s">
        <v>468</v>
      </c>
      <c r="B84" s="39" t="s">
        <v>69</v>
      </c>
      <c r="C84" s="28" t="s">
        <v>139</v>
      </c>
      <c r="D84" s="29" t="s">
        <v>469</v>
      </c>
      <c r="E84" s="28" t="s">
        <v>470</v>
      </c>
      <c r="F84" s="28" t="s">
        <v>471</v>
      </c>
      <c r="G84" s="30" t="s">
        <v>93</v>
      </c>
      <c r="H84" s="31" t="s">
        <v>61</v>
      </c>
      <c r="I84" s="32"/>
      <c r="J84" s="33"/>
    </row>
    <row r="85" customFormat="false" ht="23.25" hidden="false" customHeight="true" outlineLevel="0" collapsed="false">
      <c r="A85" s="26" t="s">
        <v>472</v>
      </c>
      <c r="B85" s="39" t="s">
        <v>69</v>
      </c>
      <c r="C85" s="28" t="s">
        <v>436</v>
      </c>
      <c r="D85" s="29" t="s">
        <v>473</v>
      </c>
      <c r="E85" s="28" t="s">
        <v>474</v>
      </c>
      <c r="F85" s="28" t="s">
        <v>475</v>
      </c>
      <c r="G85" s="30" t="s">
        <v>93</v>
      </c>
      <c r="H85" s="31" t="s">
        <v>61</v>
      </c>
      <c r="I85" s="32"/>
      <c r="J85" s="33"/>
    </row>
    <row r="86" customFormat="false" ht="23.25" hidden="false" customHeight="true" outlineLevel="0" collapsed="false">
      <c r="A86" s="26" t="s">
        <v>476</v>
      </c>
      <c r="B86" s="39" t="s">
        <v>69</v>
      </c>
      <c r="C86" s="28" t="s">
        <v>436</v>
      </c>
      <c r="D86" s="29" t="s">
        <v>477</v>
      </c>
      <c r="E86" s="28" t="s">
        <v>478</v>
      </c>
      <c r="F86" s="28" t="s">
        <v>479</v>
      </c>
      <c r="G86" s="30" t="s">
        <v>93</v>
      </c>
      <c r="H86" s="31" t="s">
        <v>61</v>
      </c>
      <c r="I86" s="32"/>
      <c r="J86" s="33"/>
    </row>
    <row r="87" customFormat="false" ht="57" hidden="false" customHeight="true" outlineLevel="0" collapsed="false">
      <c r="A87" s="26" t="s">
        <v>480</v>
      </c>
      <c r="B87" s="39" t="s">
        <v>69</v>
      </c>
      <c r="C87" s="28" t="s">
        <v>167</v>
      </c>
      <c r="D87" s="29" t="s">
        <v>481</v>
      </c>
      <c r="E87" s="28" t="s">
        <v>482</v>
      </c>
      <c r="F87" s="28" t="s">
        <v>483</v>
      </c>
      <c r="G87" s="30" t="s">
        <v>93</v>
      </c>
      <c r="H87" s="31" t="s">
        <v>59</v>
      </c>
      <c r="I87" s="32"/>
      <c r="J87" s="33" t="s">
        <v>484</v>
      </c>
    </row>
    <row r="88" customFormat="false" ht="23.25" hidden="false" customHeight="true" outlineLevel="0" collapsed="false">
      <c r="A88" s="26" t="s">
        <v>485</v>
      </c>
      <c r="B88" s="39" t="s">
        <v>69</v>
      </c>
      <c r="C88" s="28" t="s">
        <v>387</v>
      </c>
      <c r="D88" s="29" t="s">
        <v>486</v>
      </c>
      <c r="E88" s="28" t="s">
        <v>389</v>
      </c>
      <c r="F88" s="28" t="s">
        <v>487</v>
      </c>
      <c r="G88" s="30" t="s">
        <v>93</v>
      </c>
      <c r="H88" s="31" t="s">
        <v>61</v>
      </c>
      <c r="I88" s="32"/>
      <c r="J88" s="33"/>
    </row>
    <row r="89" customFormat="false" ht="23.25" hidden="false" customHeight="true" outlineLevel="0" collapsed="false">
      <c r="A89" s="26" t="s">
        <v>488</v>
      </c>
      <c r="B89" s="39" t="s">
        <v>69</v>
      </c>
      <c r="C89" s="28" t="s">
        <v>325</v>
      </c>
      <c r="D89" s="29" t="s">
        <v>489</v>
      </c>
      <c r="E89" s="28" t="s">
        <v>490</v>
      </c>
      <c r="F89" s="28" t="s">
        <v>491</v>
      </c>
      <c r="G89" s="30" t="s">
        <v>93</v>
      </c>
      <c r="H89" s="31" t="s">
        <v>61</v>
      </c>
      <c r="I89" s="32"/>
      <c r="J89" s="33"/>
    </row>
    <row r="90" customFormat="false" ht="23.25" hidden="false" customHeight="true" outlineLevel="0" collapsed="false">
      <c r="A90" s="26" t="s">
        <v>492</v>
      </c>
      <c r="B90" s="39" t="s">
        <v>69</v>
      </c>
      <c r="C90" s="28" t="s">
        <v>139</v>
      </c>
      <c r="D90" s="29" t="s">
        <v>493</v>
      </c>
      <c r="E90" s="28" t="s">
        <v>494</v>
      </c>
      <c r="F90" s="28" t="s">
        <v>495</v>
      </c>
      <c r="G90" s="30" t="s">
        <v>133</v>
      </c>
      <c r="H90" s="31" t="s">
        <v>61</v>
      </c>
      <c r="I90" s="32"/>
      <c r="J90" s="33"/>
    </row>
    <row r="91" customFormat="false" ht="15" hidden="false" customHeight="true" outlineLevel="0" collapsed="false">
      <c r="A91" s="26" t="s">
        <v>496</v>
      </c>
      <c r="B91" s="39" t="s">
        <v>69</v>
      </c>
      <c r="C91" s="28" t="s">
        <v>167</v>
      </c>
      <c r="D91" s="29" t="s">
        <v>497</v>
      </c>
      <c r="E91" s="28" t="s">
        <v>498</v>
      </c>
      <c r="F91" s="28" t="s">
        <v>499</v>
      </c>
      <c r="G91" s="30" t="s">
        <v>133</v>
      </c>
      <c r="H91" s="31" t="s">
        <v>61</v>
      </c>
      <c r="I91" s="32"/>
      <c r="J91" s="33"/>
    </row>
    <row r="92" customFormat="false" ht="23.25" hidden="false" customHeight="true" outlineLevel="0" collapsed="false">
      <c r="A92" s="26" t="s">
        <v>500</v>
      </c>
      <c r="B92" s="39" t="s">
        <v>69</v>
      </c>
      <c r="C92" s="28" t="s">
        <v>139</v>
      </c>
      <c r="D92" s="29" t="s">
        <v>501</v>
      </c>
      <c r="E92" s="28" t="s">
        <v>502</v>
      </c>
      <c r="F92" s="28" t="s">
        <v>503</v>
      </c>
      <c r="G92" s="30" t="s">
        <v>133</v>
      </c>
      <c r="H92" s="31" t="s">
        <v>61</v>
      </c>
      <c r="I92" s="32"/>
      <c r="J92" s="33"/>
    </row>
    <row r="93" customFormat="false" ht="23.25" hidden="false" customHeight="true" outlineLevel="0" collapsed="false">
      <c r="A93" s="26" t="s">
        <v>504</v>
      </c>
      <c r="B93" s="39" t="s">
        <v>69</v>
      </c>
      <c r="C93" s="28" t="s">
        <v>167</v>
      </c>
      <c r="D93" s="29" t="s">
        <v>505</v>
      </c>
      <c r="E93" s="28" t="s">
        <v>506</v>
      </c>
      <c r="F93" s="28" t="s">
        <v>507</v>
      </c>
      <c r="G93" s="30" t="s">
        <v>133</v>
      </c>
      <c r="H93" s="31" t="s">
        <v>59</v>
      </c>
      <c r="I93" s="32"/>
      <c r="J93" s="33" t="s">
        <v>508</v>
      </c>
    </row>
    <row r="94" customFormat="false" ht="23.25" hidden="false" customHeight="true" outlineLevel="0" collapsed="false">
      <c r="A94" s="26" t="s">
        <v>509</v>
      </c>
      <c r="B94" s="39" t="s">
        <v>69</v>
      </c>
      <c r="C94" s="28" t="s">
        <v>167</v>
      </c>
      <c r="D94" s="29" t="s">
        <v>510</v>
      </c>
      <c r="E94" s="28" t="s">
        <v>511</v>
      </c>
      <c r="F94" s="28" t="s">
        <v>512</v>
      </c>
      <c r="G94" s="30" t="s">
        <v>93</v>
      </c>
      <c r="H94" s="31" t="s">
        <v>59</v>
      </c>
      <c r="I94" s="32"/>
      <c r="J94" s="33" t="s">
        <v>513</v>
      </c>
    </row>
    <row r="95" customFormat="false" ht="57" hidden="false" customHeight="true" outlineLevel="0" collapsed="false">
      <c r="A95" s="26" t="s">
        <v>514</v>
      </c>
      <c r="B95" s="34" t="s">
        <v>70</v>
      </c>
      <c r="C95" s="28" t="s">
        <v>139</v>
      </c>
      <c r="D95" s="29" t="s">
        <v>515</v>
      </c>
      <c r="E95" s="28" t="s">
        <v>516</v>
      </c>
      <c r="F95" s="28" t="s">
        <v>517</v>
      </c>
      <c r="G95" s="30" t="s">
        <v>93</v>
      </c>
      <c r="H95" s="31" t="s">
        <v>59</v>
      </c>
      <c r="I95" s="32"/>
      <c r="J95" s="33" t="s">
        <v>518</v>
      </c>
    </row>
    <row r="96" customFormat="false" ht="15" hidden="false" customHeight="true" outlineLevel="0" collapsed="false">
      <c r="A96" s="26" t="s">
        <v>519</v>
      </c>
      <c r="B96" s="34" t="s">
        <v>70</v>
      </c>
      <c r="C96" s="28" t="s">
        <v>139</v>
      </c>
      <c r="D96" s="29" t="s">
        <v>520</v>
      </c>
      <c r="E96" s="28" t="s">
        <v>521</v>
      </c>
      <c r="F96" s="28" t="s">
        <v>522</v>
      </c>
      <c r="G96" s="30" t="s">
        <v>133</v>
      </c>
      <c r="H96" s="31" t="s">
        <v>61</v>
      </c>
      <c r="I96" s="32"/>
      <c r="J96" s="33"/>
    </row>
    <row r="97" customFormat="false" ht="23.25" hidden="false" customHeight="true" outlineLevel="0" collapsed="false">
      <c r="A97" s="26" t="s">
        <v>523</v>
      </c>
      <c r="B97" s="34" t="s">
        <v>70</v>
      </c>
      <c r="C97" s="28" t="s">
        <v>139</v>
      </c>
      <c r="D97" s="29" t="s">
        <v>524</v>
      </c>
      <c r="E97" s="28" t="s">
        <v>525</v>
      </c>
      <c r="F97" s="28" t="s">
        <v>526</v>
      </c>
      <c r="G97" s="30" t="s">
        <v>133</v>
      </c>
      <c r="H97" s="31" t="s">
        <v>61</v>
      </c>
      <c r="I97" s="32"/>
      <c r="J97" s="33"/>
    </row>
    <row r="98" customFormat="false" ht="23.25" hidden="false" customHeight="true" outlineLevel="0" collapsed="false">
      <c r="A98" s="26" t="s">
        <v>527</v>
      </c>
      <c r="B98" s="34" t="s">
        <v>70</v>
      </c>
      <c r="C98" s="28" t="s">
        <v>139</v>
      </c>
      <c r="D98" s="29" t="s">
        <v>528</v>
      </c>
      <c r="E98" s="28" t="s">
        <v>529</v>
      </c>
      <c r="F98" s="28" t="s">
        <v>530</v>
      </c>
      <c r="G98" s="30" t="s">
        <v>133</v>
      </c>
      <c r="H98" s="31" t="s">
        <v>58</v>
      </c>
      <c r="I98" s="32" t="n">
        <v>46298</v>
      </c>
      <c r="J98" s="33" t="s">
        <v>531</v>
      </c>
    </row>
    <row r="99" customFormat="false" ht="23.25" hidden="false" customHeight="true" outlineLevel="0" collapsed="false">
      <c r="A99" s="26" t="s">
        <v>532</v>
      </c>
      <c r="B99" s="34" t="s">
        <v>70</v>
      </c>
      <c r="C99" s="28" t="s">
        <v>139</v>
      </c>
      <c r="D99" s="29" t="s">
        <v>533</v>
      </c>
      <c r="E99" s="28" t="s">
        <v>534</v>
      </c>
      <c r="F99" s="28" t="s">
        <v>535</v>
      </c>
      <c r="G99" s="30" t="s">
        <v>143</v>
      </c>
      <c r="H99" s="31" t="s">
        <v>61</v>
      </c>
      <c r="I99" s="32"/>
      <c r="J99" s="33"/>
    </row>
    <row r="100" customFormat="false" ht="45.75" hidden="false" customHeight="true" outlineLevel="0" collapsed="false">
      <c r="A100" s="26" t="s">
        <v>536</v>
      </c>
      <c r="B100" s="34" t="s">
        <v>70</v>
      </c>
      <c r="C100" s="28" t="s">
        <v>139</v>
      </c>
      <c r="D100" s="29" t="s">
        <v>537</v>
      </c>
      <c r="E100" s="28" t="s">
        <v>538</v>
      </c>
      <c r="F100" s="28" t="s">
        <v>539</v>
      </c>
      <c r="G100" s="30" t="s">
        <v>93</v>
      </c>
      <c r="H100" s="31" t="s">
        <v>59</v>
      </c>
      <c r="I100" s="32"/>
      <c r="J100" s="33" t="s">
        <v>540</v>
      </c>
    </row>
    <row r="101" customFormat="false" ht="34.5" hidden="false" customHeight="true" outlineLevel="0" collapsed="false">
      <c r="A101" s="26" t="s">
        <v>541</v>
      </c>
      <c r="B101" s="34" t="s">
        <v>70</v>
      </c>
      <c r="C101" s="28" t="s">
        <v>139</v>
      </c>
      <c r="D101" s="29" t="s">
        <v>542</v>
      </c>
      <c r="E101" s="28" t="s">
        <v>543</v>
      </c>
      <c r="F101" s="28" t="s">
        <v>544</v>
      </c>
      <c r="G101" s="30" t="s">
        <v>133</v>
      </c>
      <c r="H101" s="31" t="s">
        <v>59</v>
      </c>
      <c r="I101" s="32"/>
      <c r="J101" s="33" t="s">
        <v>545</v>
      </c>
    </row>
    <row r="102" customFormat="false" ht="34.5" hidden="false" customHeight="true" outlineLevel="0" collapsed="false">
      <c r="A102" s="26" t="s">
        <v>546</v>
      </c>
      <c r="B102" s="34" t="s">
        <v>70</v>
      </c>
      <c r="C102" s="28" t="s">
        <v>139</v>
      </c>
      <c r="D102" s="29" t="s">
        <v>547</v>
      </c>
      <c r="E102" s="28" t="s">
        <v>548</v>
      </c>
      <c r="F102" s="28" t="s">
        <v>549</v>
      </c>
      <c r="G102" s="30" t="s">
        <v>143</v>
      </c>
      <c r="H102" s="31" t="s">
        <v>59</v>
      </c>
      <c r="I102" s="32"/>
      <c r="J102" s="33" t="s">
        <v>550</v>
      </c>
    </row>
    <row r="103" customFormat="false" ht="34.5" hidden="false" customHeight="true" outlineLevel="0" collapsed="false">
      <c r="A103" s="26" t="s">
        <v>551</v>
      </c>
      <c r="B103" s="36" t="s">
        <v>71</v>
      </c>
      <c r="C103" s="28" t="s">
        <v>139</v>
      </c>
      <c r="D103" s="29" t="s">
        <v>552</v>
      </c>
      <c r="E103" s="28" t="s">
        <v>553</v>
      </c>
      <c r="F103" s="28" t="s">
        <v>554</v>
      </c>
      <c r="G103" s="30" t="s">
        <v>93</v>
      </c>
      <c r="H103" s="31" t="s">
        <v>61</v>
      </c>
      <c r="I103" s="32"/>
      <c r="J103" s="33"/>
    </row>
    <row r="104" customFormat="false" ht="23.25" hidden="false" customHeight="true" outlineLevel="0" collapsed="false">
      <c r="A104" s="26" t="s">
        <v>555</v>
      </c>
      <c r="B104" s="36" t="s">
        <v>71</v>
      </c>
      <c r="C104" s="28" t="s">
        <v>139</v>
      </c>
      <c r="D104" s="29" t="s">
        <v>556</v>
      </c>
      <c r="E104" s="28" t="s">
        <v>557</v>
      </c>
      <c r="F104" s="28" t="s">
        <v>558</v>
      </c>
      <c r="G104" s="30" t="s">
        <v>93</v>
      </c>
      <c r="H104" s="31" t="s">
        <v>61</v>
      </c>
      <c r="I104" s="32"/>
      <c r="J104" s="33"/>
    </row>
    <row r="105" customFormat="false" ht="23.25" hidden="false" customHeight="true" outlineLevel="0" collapsed="false">
      <c r="A105" s="26" t="s">
        <v>559</v>
      </c>
      <c r="B105" s="36" t="s">
        <v>71</v>
      </c>
      <c r="C105" s="28" t="s">
        <v>139</v>
      </c>
      <c r="D105" s="29" t="s">
        <v>560</v>
      </c>
      <c r="E105" s="28" t="s">
        <v>561</v>
      </c>
      <c r="F105" s="28" t="s">
        <v>562</v>
      </c>
      <c r="G105" s="30" t="s">
        <v>133</v>
      </c>
      <c r="H105" s="31" t="s">
        <v>61</v>
      </c>
      <c r="I105" s="32"/>
      <c r="J105" s="33"/>
    </row>
    <row r="106" customFormat="false" ht="23.25" hidden="false" customHeight="true" outlineLevel="0" collapsed="false">
      <c r="A106" s="26" t="s">
        <v>563</v>
      </c>
      <c r="B106" s="36" t="s">
        <v>71</v>
      </c>
      <c r="C106" s="28" t="s">
        <v>139</v>
      </c>
      <c r="D106" s="29" t="s">
        <v>564</v>
      </c>
      <c r="E106" s="28" t="s">
        <v>565</v>
      </c>
      <c r="F106" s="28" t="s">
        <v>566</v>
      </c>
      <c r="G106" s="30" t="s">
        <v>133</v>
      </c>
      <c r="H106" s="31" t="s">
        <v>61</v>
      </c>
      <c r="I106" s="32"/>
      <c r="J106" s="33"/>
    </row>
    <row r="107" customFormat="false" ht="23.25" hidden="false" customHeight="true" outlineLevel="0" collapsed="false">
      <c r="A107" s="26" t="s">
        <v>567</v>
      </c>
      <c r="B107" s="36" t="s">
        <v>71</v>
      </c>
      <c r="C107" s="28" t="s">
        <v>139</v>
      </c>
      <c r="D107" s="29" t="s">
        <v>568</v>
      </c>
      <c r="E107" s="28" t="s">
        <v>569</v>
      </c>
      <c r="F107" s="28" t="s">
        <v>570</v>
      </c>
      <c r="G107" s="30" t="s">
        <v>93</v>
      </c>
      <c r="H107" s="31" t="s">
        <v>61</v>
      </c>
      <c r="I107" s="32"/>
      <c r="J107" s="33"/>
    </row>
    <row r="108" customFormat="false" ht="23.25" hidden="false" customHeight="true" outlineLevel="0" collapsed="false">
      <c r="A108" s="26" t="s">
        <v>571</v>
      </c>
      <c r="B108" s="36" t="s">
        <v>71</v>
      </c>
      <c r="C108" s="28" t="s">
        <v>139</v>
      </c>
      <c r="D108" s="29" t="s">
        <v>572</v>
      </c>
      <c r="E108" s="28" t="s">
        <v>573</v>
      </c>
      <c r="F108" s="28" t="s">
        <v>574</v>
      </c>
      <c r="G108" s="30" t="s">
        <v>93</v>
      </c>
      <c r="H108" s="31" t="s">
        <v>61</v>
      </c>
      <c r="I108" s="32"/>
      <c r="J108" s="33"/>
    </row>
    <row r="109" customFormat="false" ht="23.25" hidden="false" customHeight="true" outlineLevel="0" collapsed="false">
      <c r="A109" s="26" t="s">
        <v>575</v>
      </c>
      <c r="B109" s="36" t="s">
        <v>71</v>
      </c>
      <c r="C109" s="28" t="s">
        <v>325</v>
      </c>
      <c r="D109" s="29" t="s">
        <v>576</v>
      </c>
      <c r="E109" s="28" t="s">
        <v>577</v>
      </c>
      <c r="F109" s="28" t="s">
        <v>578</v>
      </c>
      <c r="G109" s="30" t="s">
        <v>133</v>
      </c>
      <c r="H109" s="31" t="s">
        <v>61</v>
      </c>
      <c r="I109" s="32"/>
      <c r="J109" s="33"/>
    </row>
    <row r="110" customFormat="false" ht="23.25" hidden="false" customHeight="true" outlineLevel="0" collapsed="false">
      <c r="A110" s="26" t="s">
        <v>579</v>
      </c>
      <c r="B110" s="36" t="s">
        <v>71</v>
      </c>
      <c r="C110" s="28" t="s">
        <v>139</v>
      </c>
      <c r="D110" s="29" t="s">
        <v>580</v>
      </c>
      <c r="E110" s="28" t="s">
        <v>581</v>
      </c>
      <c r="F110" s="28" t="s">
        <v>582</v>
      </c>
      <c r="G110" s="30" t="s">
        <v>133</v>
      </c>
      <c r="H110" s="31" t="s">
        <v>61</v>
      </c>
      <c r="I110" s="32"/>
      <c r="J110" s="33"/>
    </row>
    <row r="111" customFormat="false" ht="34.5" hidden="false" customHeight="true" outlineLevel="0" collapsed="false">
      <c r="A111" s="26" t="s">
        <v>583</v>
      </c>
      <c r="B111" s="36" t="s">
        <v>71</v>
      </c>
      <c r="C111" s="28" t="s">
        <v>139</v>
      </c>
      <c r="D111" s="29" t="s">
        <v>584</v>
      </c>
      <c r="E111" s="28" t="s">
        <v>585</v>
      </c>
      <c r="F111" s="28" t="s">
        <v>586</v>
      </c>
      <c r="G111" s="30" t="s">
        <v>93</v>
      </c>
      <c r="H111" s="31" t="s">
        <v>61</v>
      </c>
      <c r="I111" s="32"/>
      <c r="J111" s="33"/>
    </row>
    <row r="112" customFormat="false" ht="23.25" hidden="false" customHeight="true" outlineLevel="0" collapsed="false">
      <c r="A112" s="26" t="s">
        <v>587</v>
      </c>
      <c r="B112" s="36" t="s">
        <v>71</v>
      </c>
      <c r="C112" s="28" t="s">
        <v>139</v>
      </c>
      <c r="D112" s="29" t="s">
        <v>588</v>
      </c>
      <c r="E112" s="28" t="s">
        <v>589</v>
      </c>
      <c r="F112" s="28" t="s">
        <v>590</v>
      </c>
      <c r="G112" s="30" t="s">
        <v>143</v>
      </c>
      <c r="H112" s="31" t="s">
        <v>61</v>
      </c>
      <c r="I112" s="32"/>
      <c r="J112" s="33"/>
    </row>
    <row r="113" customFormat="false" ht="23.25" hidden="false" customHeight="true" outlineLevel="0" collapsed="false">
      <c r="A113" s="26" t="s">
        <v>591</v>
      </c>
      <c r="B113" s="39" t="s">
        <v>72</v>
      </c>
      <c r="C113" s="28" t="s">
        <v>89</v>
      </c>
      <c r="D113" s="29" t="s">
        <v>592</v>
      </c>
      <c r="E113" s="28" t="s">
        <v>593</v>
      </c>
      <c r="F113" s="28" t="s">
        <v>594</v>
      </c>
      <c r="G113" s="30" t="s">
        <v>93</v>
      </c>
      <c r="H113" s="31" t="s">
        <v>61</v>
      </c>
      <c r="I113" s="32"/>
      <c r="J113" s="33"/>
    </row>
    <row r="114" customFormat="false" ht="15" hidden="false" customHeight="true" outlineLevel="0" collapsed="false">
      <c r="A114" s="26" t="s">
        <v>595</v>
      </c>
      <c r="B114" s="39" t="s">
        <v>72</v>
      </c>
      <c r="C114" s="28" t="s">
        <v>89</v>
      </c>
      <c r="D114" s="29" t="s">
        <v>596</v>
      </c>
      <c r="E114" s="28" t="s">
        <v>597</v>
      </c>
      <c r="F114" s="28" t="s">
        <v>598</v>
      </c>
      <c r="G114" s="30" t="s">
        <v>93</v>
      </c>
      <c r="H114" s="31" t="s">
        <v>61</v>
      </c>
      <c r="I114" s="32"/>
      <c r="J114" s="33"/>
    </row>
    <row r="115" customFormat="false" ht="15" hidden="false" customHeight="true" outlineLevel="0" collapsed="false">
      <c r="A115" s="26" t="s">
        <v>599</v>
      </c>
      <c r="B115" s="39" t="s">
        <v>72</v>
      </c>
      <c r="C115" s="28" t="s">
        <v>89</v>
      </c>
      <c r="D115" s="29" t="s">
        <v>600</v>
      </c>
      <c r="E115" s="28" t="s">
        <v>601</v>
      </c>
      <c r="F115" s="28" t="s">
        <v>602</v>
      </c>
      <c r="G115" s="30" t="s">
        <v>93</v>
      </c>
      <c r="H115" s="31" t="s">
        <v>61</v>
      </c>
      <c r="I115" s="32"/>
      <c r="J115" s="33"/>
    </row>
    <row r="116" customFormat="false" ht="57" hidden="false" customHeight="true" outlineLevel="0" collapsed="false">
      <c r="A116" s="26" t="s">
        <v>603</v>
      </c>
      <c r="B116" s="39" t="s">
        <v>72</v>
      </c>
      <c r="C116" s="28" t="s">
        <v>604</v>
      </c>
      <c r="D116" s="29" t="s">
        <v>605</v>
      </c>
      <c r="E116" s="28" t="s">
        <v>606</v>
      </c>
      <c r="F116" s="28" t="s">
        <v>607</v>
      </c>
      <c r="G116" s="30" t="s">
        <v>133</v>
      </c>
      <c r="H116" s="31" t="s">
        <v>61</v>
      </c>
      <c r="I116" s="32"/>
      <c r="J116" s="33" t="s">
        <v>608</v>
      </c>
    </row>
    <row r="117" customFormat="false" ht="15" hidden="false" customHeight="true" outlineLevel="0" collapsed="false">
      <c r="A117" s="26" t="s">
        <v>609</v>
      </c>
      <c r="B117" s="39" t="s">
        <v>72</v>
      </c>
      <c r="C117" s="28" t="s">
        <v>89</v>
      </c>
      <c r="D117" s="29" t="s">
        <v>610</v>
      </c>
      <c r="E117" s="28" t="s">
        <v>611</v>
      </c>
      <c r="F117" s="28" t="s">
        <v>612</v>
      </c>
      <c r="G117" s="30" t="s">
        <v>93</v>
      </c>
      <c r="H117" s="31" t="s">
        <v>61</v>
      </c>
      <c r="I117" s="32"/>
      <c r="J117" s="33"/>
    </row>
    <row r="118" customFormat="false" ht="23.25" hidden="false" customHeight="true" outlineLevel="0" collapsed="false">
      <c r="A118" s="26" t="s">
        <v>613</v>
      </c>
      <c r="B118" s="27" t="s">
        <v>73</v>
      </c>
      <c r="C118" s="28" t="s">
        <v>89</v>
      </c>
      <c r="D118" s="29" t="s">
        <v>614</v>
      </c>
      <c r="E118" s="28" t="s">
        <v>615</v>
      </c>
      <c r="F118" s="28" t="s">
        <v>616</v>
      </c>
      <c r="G118" s="30" t="s">
        <v>93</v>
      </c>
      <c r="H118" s="31" t="s">
        <v>61</v>
      </c>
      <c r="I118" s="32"/>
      <c r="J118" s="33"/>
    </row>
    <row r="119" customFormat="false" ht="23.25" hidden="false" customHeight="true" outlineLevel="0" collapsed="false">
      <c r="A119" s="26" t="s">
        <v>617</v>
      </c>
      <c r="B119" s="27" t="s">
        <v>73</v>
      </c>
      <c r="C119" s="28" t="s">
        <v>89</v>
      </c>
      <c r="D119" s="29" t="s">
        <v>618</v>
      </c>
      <c r="E119" s="28" t="s">
        <v>619</v>
      </c>
      <c r="F119" s="28" t="s">
        <v>620</v>
      </c>
      <c r="G119" s="30" t="s">
        <v>133</v>
      </c>
      <c r="H119" s="31" t="s">
        <v>61</v>
      </c>
      <c r="I119" s="32"/>
      <c r="J119" s="33"/>
    </row>
    <row r="120" customFormat="false" ht="23.25" hidden="false" customHeight="true" outlineLevel="0" collapsed="false">
      <c r="A120" s="26" t="s">
        <v>621</v>
      </c>
      <c r="B120" s="27" t="s">
        <v>73</v>
      </c>
      <c r="C120" s="28" t="s">
        <v>89</v>
      </c>
      <c r="D120" s="29" t="s">
        <v>622</v>
      </c>
      <c r="E120" s="28" t="s">
        <v>623</v>
      </c>
      <c r="F120" s="28" t="s">
        <v>624</v>
      </c>
      <c r="G120" s="30" t="s">
        <v>93</v>
      </c>
      <c r="H120" s="31" t="s">
        <v>61</v>
      </c>
      <c r="I120" s="32"/>
      <c r="J120" s="33" t="s">
        <v>625</v>
      </c>
    </row>
    <row r="121" customFormat="false" ht="23.25" hidden="false" customHeight="true" outlineLevel="0" collapsed="false">
      <c r="A121" s="26" t="s">
        <v>626</v>
      </c>
      <c r="B121" s="27" t="s">
        <v>73</v>
      </c>
      <c r="C121" s="28" t="s">
        <v>89</v>
      </c>
      <c r="D121" s="29" t="s">
        <v>627</v>
      </c>
      <c r="E121" s="28" t="s">
        <v>628</v>
      </c>
      <c r="F121" s="28" t="s">
        <v>629</v>
      </c>
      <c r="G121" s="30" t="s">
        <v>93</v>
      </c>
      <c r="H121" s="31" t="s">
        <v>61</v>
      </c>
      <c r="I121" s="32"/>
      <c r="J121" s="33"/>
    </row>
    <row r="122" customFormat="false" ht="15" hidden="false" customHeight="true" outlineLevel="0" collapsed="false">
      <c r="A122" s="26" t="s">
        <v>630</v>
      </c>
      <c r="B122" s="27" t="s">
        <v>73</v>
      </c>
      <c r="C122" s="28" t="s">
        <v>89</v>
      </c>
      <c r="D122" s="29" t="s">
        <v>631</v>
      </c>
      <c r="E122" s="28" t="s">
        <v>632</v>
      </c>
      <c r="F122" s="28" t="s">
        <v>633</v>
      </c>
      <c r="G122" s="30" t="s">
        <v>93</v>
      </c>
      <c r="H122" s="31" t="s">
        <v>61</v>
      </c>
      <c r="I122" s="32"/>
      <c r="J122" s="33"/>
    </row>
    <row r="123" customFormat="false" ht="15" hidden="false" customHeight="true" outlineLevel="0" collapsed="false">
      <c r="A123" s="26" t="s">
        <v>634</v>
      </c>
      <c r="B123" s="27" t="s">
        <v>73</v>
      </c>
      <c r="C123" s="28" t="s">
        <v>89</v>
      </c>
      <c r="D123" s="29" t="s">
        <v>635</v>
      </c>
      <c r="E123" s="28" t="s">
        <v>636</v>
      </c>
      <c r="F123" s="28" t="s">
        <v>637</v>
      </c>
      <c r="G123" s="30" t="s">
        <v>133</v>
      </c>
      <c r="H123" s="31" t="s">
        <v>61</v>
      </c>
      <c r="I123" s="32"/>
      <c r="J123" s="33"/>
    </row>
    <row r="124" customFormat="false" ht="15" hidden="false" customHeight="true" outlineLevel="0" collapsed="false">
      <c r="A124" s="26" t="s">
        <v>638</v>
      </c>
      <c r="B124" s="27" t="s">
        <v>73</v>
      </c>
      <c r="C124" s="28" t="s">
        <v>89</v>
      </c>
      <c r="D124" s="29" t="s">
        <v>639</v>
      </c>
      <c r="E124" s="28" t="s">
        <v>640</v>
      </c>
      <c r="F124" s="28" t="s">
        <v>641</v>
      </c>
      <c r="G124" s="30" t="s">
        <v>143</v>
      </c>
      <c r="H124" s="31" t="s">
        <v>61</v>
      </c>
      <c r="I124" s="32"/>
      <c r="J124" s="33"/>
    </row>
    <row r="125" customFormat="false" ht="23.25" hidden="false" customHeight="true" outlineLevel="0" collapsed="false">
      <c r="A125" s="26" t="s">
        <v>642</v>
      </c>
      <c r="B125" s="35" t="s">
        <v>74</v>
      </c>
      <c r="C125" s="28" t="s">
        <v>167</v>
      </c>
      <c r="D125" s="29" t="s">
        <v>643</v>
      </c>
      <c r="E125" s="28" t="s">
        <v>644</v>
      </c>
      <c r="F125" s="28" t="s">
        <v>645</v>
      </c>
      <c r="G125" s="30" t="s">
        <v>93</v>
      </c>
      <c r="H125" s="31" t="s">
        <v>61</v>
      </c>
      <c r="I125" s="32"/>
      <c r="J125" s="33"/>
    </row>
    <row r="126" customFormat="false" ht="23.25" hidden="false" customHeight="true" outlineLevel="0" collapsed="false">
      <c r="A126" s="26" t="s">
        <v>646</v>
      </c>
      <c r="B126" s="35" t="s">
        <v>74</v>
      </c>
      <c r="C126" s="28" t="s">
        <v>139</v>
      </c>
      <c r="D126" s="29" t="s">
        <v>647</v>
      </c>
      <c r="E126" s="28" t="s">
        <v>648</v>
      </c>
      <c r="F126" s="28" t="s">
        <v>649</v>
      </c>
      <c r="G126" s="30" t="s">
        <v>133</v>
      </c>
      <c r="H126" s="31" t="s">
        <v>61</v>
      </c>
      <c r="I126" s="32"/>
      <c r="J126" s="33"/>
    </row>
    <row r="127" customFormat="false" ht="15" hidden="false" customHeight="true" outlineLevel="0" collapsed="false">
      <c r="A127" s="26" t="s">
        <v>650</v>
      </c>
      <c r="B127" s="35" t="s">
        <v>74</v>
      </c>
      <c r="C127" s="28" t="s">
        <v>139</v>
      </c>
      <c r="D127" s="29" t="s">
        <v>651</v>
      </c>
      <c r="E127" s="28" t="s">
        <v>652</v>
      </c>
      <c r="F127" s="28" t="s">
        <v>653</v>
      </c>
      <c r="G127" s="30" t="s">
        <v>133</v>
      </c>
      <c r="H127" s="31" t="s">
        <v>61</v>
      </c>
      <c r="I127" s="32"/>
      <c r="J127" s="33"/>
    </row>
    <row r="128" customFormat="false" ht="23.25" hidden="false" customHeight="true" outlineLevel="0" collapsed="false">
      <c r="A128" s="26" t="s">
        <v>654</v>
      </c>
      <c r="B128" s="35" t="s">
        <v>74</v>
      </c>
      <c r="C128" s="28" t="s">
        <v>139</v>
      </c>
      <c r="D128" s="29" t="s">
        <v>655</v>
      </c>
      <c r="E128" s="28" t="s">
        <v>656</v>
      </c>
      <c r="F128" s="28" t="s">
        <v>657</v>
      </c>
      <c r="G128" s="30" t="s">
        <v>133</v>
      </c>
      <c r="H128" s="31" t="s">
        <v>61</v>
      </c>
      <c r="I128" s="32"/>
      <c r="J128" s="33"/>
    </row>
    <row r="129" customFormat="false" ht="23.25" hidden="false" customHeight="true" outlineLevel="0" collapsed="false">
      <c r="A129" s="26" t="s">
        <v>658</v>
      </c>
      <c r="B129" s="35" t="s">
        <v>74</v>
      </c>
      <c r="C129" s="28" t="s">
        <v>167</v>
      </c>
      <c r="D129" s="29" t="s">
        <v>659</v>
      </c>
      <c r="E129" s="28" t="s">
        <v>660</v>
      </c>
      <c r="F129" s="28" t="s">
        <v>661</v>
      </c>
      <c r="G129" s="30" t="s">
        <v>133</v>
      </c>
      <c r="H129" s="31" t="s">
        <v>61</v>
      </c>
      <c r="I129" s="32"/>
      <c r="J129" s="33"/>
    </row>
    <row r="130" customFormat="false" ht="23.25" hidden="false" customHeight="true" outlineLevel="0" collapsed="false">
      <c r="A130" s="26" t="s">
        <v>662</v>
      </c>
      <c r="B130" s="35" t="s">
        <v>74</v>
      </c>
      <c r="C130" s="28" t="s">
        <v>129</v>
      </c>
      <c r="D130" s="29" t="s">
        <v>663</v>
      </c>
      <c r="E130" s="28" t="s">
        <v>664</v>
      </c>
      <c r="F130" s="28" t="s">
        <v>665</v>
      </c>
      <c r="G130" s="30" t="s">
        <v>133</v>
      </c>
      <c r="H130" s="31" t="s">
        <v>61</v>
      </c>
      <c r="I130" s="32"/>
      <c r="J130" s="33"/>
    </row>
    <row r="131" customFormat="false" ht="23.25" hidden="false" customHeight="true" outlineLevel="0" collapsed="false">
      <c r="A131" s="26" t="s">
        <v>666</v>
      </c>
      <c r="B131" s="35" t="s">
        <v>74</v>
      </c>
      <c r="C131" s="28" t="s">
        <v>167</v>
      </c>
      <c r="D131" s="29" t="s">
        <v>667</v>
      </c>
      <c r="E131" s="28" t="s">
        <v>668</v>
      </c>
      <c r="F131" s="28" t="s">
        <v>669</v>
      </c>
      <c r="G131" s="30" t="s">
        <v>143</v>
      </c>
      <c r="H131" s="31" t="s">
        <v>61</v>
      </c>
      <c r="I131" s="32"/>
      <c r="J131" s="33"/>
    </row>
    <row r="132" customFormat="false" ht="23.25" hidden="false" customHeight="true" outlineLevel="0" collapsed="false">
      <c r="A132" s="26" t="s">
        <v>670</v>
      </c>
      <c r="B132" s="37" t="s">
        <v>75</v>
      </c>
      <c r="C132" s="28" t="s">
        <v>89</v>
      </c>
      <c r="D132" s="29" t="s">
        <v>671</v>
      </c>
      <c r="E132" s="28" t="s">
        <v>672</v>
      </c>
      <c r="F132" s="28" t="s">
        <v>673</v>
      </c>
      <c r="G132" s="30" t="s">
        <v>93</v>
      </c>
      <c r="H132" s="31" t="s">
        <v>61</v>
      </c>
      <c r="I132" s="32"/>
      <c r="J132" s="33"/>
    </row>
    <row r="133" customFormat="false" ht="23.25" hidden="false" customHeight="true" outlineLevel="0" collapsed="false">
      <c r="A133" s="26" t="s">
        <v>674</v>
      </c>
      <c r="B133" s="37" t="s">
        <v>75</v>
      </c>
      <c r="C133" s="28" t="s">
        <v>89</v>
      </c>
      <c r="D133" s="29" t="s">
        <v>675</v>
      </c>
      <c r="E133" s="28" t="s">
        <v>676</v>
      </c>
      <c r="F133" s="28" t="s">
        <v>677</v>
      </c>
      <c r="G133" s="30" t="s">
        <v>93</v>
      </c>
      <c r="H133" s="31" t="s">
        <v>61</v>
      </c>
      <c r="I133" s="32"/>
      <c r="J133" s="33" t="s">
        <v>678</v>
      </c>
    </row>
    <row r="134" customFormat="false" ht="15" hidden="false" customHeight="true" outlineLevel="0" collapsed="false">
      <c r="A134" s="26" t="s">
        <v>679</v>
      </c>
      <c r="B134" s="37" t="s">
        <v>75</v>
      </c>
      <c r="C134" s="28" t="s">
        <v>89</v>
      </c>
      <c r="D134" s="29" t="s">
        <v>680</v>
      </c>
      <c r="E134" s="28" t="s">
        <v>681</v>
      </c>
      <c r="F134" s="28" t="s">
        <v>682</v>
      </c>
      <c r="G134" s="30" t="s">
        <v>93</v>
      </c>
      <c r="H134" s="31" t="s">
        <v>61</v>
      </c>
      <c r="I134" s="32"/>
      <c r="J134" s="33"/>
    </row>
    <row r="135" customFormat="false" ht="45.75" hidden="false" customHeight="true" outlineLevel="0" collapsed="false">
      <c r="A135" s="26" t="s">
        <v>683</v>
      </c>
      <c r="B135" s="37" t="s">
        <v>75</v>
      </c>
      <c r="C135" s="28" t="s">
        <v>275</v>
      </c>
      <c r="D135" s="29" t="s">
        <v>684</v>
      </c>
      <c r="E135" s="28" t="s">
        <v>685</v>
      </c>
      <c r="F135" s="28" t="s">
        <v>686</v>
      </c>
      <c r="G135" s="30" t="s">
        <v>93</v>
      </c>
      <c r="H135" s="31" t="s">
        <v>61</v>
      </c>
      <c r="I135" s="32"/>
      <c r="J135" s="33" t="s">
        <v>687</v>
      </c>
    </row>
    <row r="136" customFormat="false" ht="23.25" hidden="false" customHeight="true" outlineLevel="0" collapsed="false">
      <c r="A136" s="26" t="s">
        <v>688</v>
      </c>
      <c r="B136" s="37" t="s">
        <v>75</v>
      </c>
      <c r="C136" s="28" t="s">
        <v>89</v>
      </c>
      <c r="D136" s="29" t="s">
        <v>689</v>
      </c>
      <c r="E136" s="28" t="s">
        <v>690</v>
      </c>
      <c r="F136" s="28" t="s">
        <v>691</v>
      </c>
      <c r="G136" s="30" t="s">
        <v>93</v>
      </c>
      <c r="H136" s="31" t="s">
        <v>61</v>
      </c>
      <c r="I136" s="32"/>
      <c r="J136" s="33"/>
    </row>
    <row r="137" customFormat="false" ht="15" hidden="false" customHeight="true" outlineLevel="0" collapsed="false">
      <c r="A137" s="26" t="s">
        <v>692</v>
      </c>
      <c r="B137" s="37" t="s">
        <v>75</v>
      </c>
      <c r="C137" s="28" t="s">
        <v>275</v>
      </c>
      <c r="D137" s="29" t="s">
        <v>693</v>
      </c>
      <c r="E137" s="28" t="s">
        <v>694</v>
      </c>
      <c r="F137" s="28" t="s">
        <v>695</v>
      </c>
      <c r="G137" s="30" t="s">
        <v>93</v>
      </c>
      <c r="H137" s="31" t="s">
        <v>61</v>
      </c>
      <c r="I137" s="32"/>
      <c r="J137" s="33"/>
    </row>
    <row r="138" customFormat="false" ht="15" hidden="false" customHeight="true" outlineLevel="0" collapsed="false">
      <c r="A138" s="26" t="s">
        <v>696</v>
      </c>
      <c r="B138" s="37" t="s">
        <v>75</v>
      </c>
      <c r="C138" s="28" t="s">
        <v>89</v>
      </c>
      <c r="D138" s="29" t="s">
        <v>697</v>
      </c>
      <c r="E138" s="28" t="s">
        <v>698</v>
      </c>
      <c r="F138" s="28" t="s">
        <v>699</v>
      </c>
      <c r="G138" s="30" t="s">
        <v>93</v>
      </c>
      <c r="H138" s="31" t="s">
        <v>61</v>
      </c>
      <c r="I138" s="32"/>
      <c r="J138" s="33"/>
    </row>
    <row r="139" customFormat="false" ht="23.25" hidden="false" customHeight="true" outlineLevel="0" collapsed="false">
      <c r="A139" s="26" t="s">
        <v>700</v>
      </c>
      <c r="B139" s="37" t="s">
        <v>75</v>
      </c>
      <c r="C139" s="28" t="s">
        <v>89</v>
      </c>
      <c r="D139" s="29" t="s">
        <v>701</v>
      </c>
      <c r="E139" s="28" t="s">
        <v>702</v>
      </c>
      <c r="F139" s="28" t="s">
        <v>703</v>
      </c>
      <c r="G139" s="30" t="s">
        <v>93</v>
      </c>
      <c r="H139" s="31" t="s">
        <v>61</v>
      </c>
      <c r="I139" s="32"/>
      <c r="J139" s="33"/>
    </row>
    <row r="140" customFormat="false" ht="15" hidden="false" customHeight="true" outlineLevel="0" collapsed="false">
      <c r="A140" s="26" t="s">
        <v>704</v>
      </c>
      <c r="B140" s="37" t="s">
        <v>75</v>
      </c>
      <c r="C140" s="28" t="s">
        <v>139</v>
      </c>
      <c r="D140" s="29" t="s">
        <v>705</v>
      </c>
      <c r="E140" s="28" t="s">
        <v>706</v>
      </c>
      <c r="F140" s="28" t="s">
        <v>707</v>
      </c>
      <c r="G140" s="30" t="s">
        <v>93</v>
      </c>
      <c r="H140" s="31" t="s">
        <v>61</v>
      </c>
      <c r="I140" s="32"/>
      <c r="J140" s="33"/>
    </row>
    <row r="141" customFormat="false" ht="15" hidden="false" customHeight="true" outlineLevel="0" collapsed="false">
      <c r="A141" s="26" t="s">
        <v>708</v>
      </c>
      <c r="B141" s="37" t="s">
        <v>75</v>
      </c>
      <c r="C141" s="28" t="s">
        <v>709</v>
      </c>
      <c r="D141" s="29" t="s">
        <v>710</v>
      </c>
      <c r="E141" s="28" t="s">
        <v>711</v>
      </c>
      <c r="F141" s="28" t="s">
        <v>712</v>
      </c>
      <c r="G141" s="30" t="s">
        <v>93</v>
      </c>
      <c r="H141" s="31" t="s">
        <v>61</v>
      </c>
      <c r="I141" s="32"/>
      <c r="J141" s="33"/>
    </row>
    <row r="142" customFormat="false" ht="23.25" hidden="false" customHeight="true" outlineLevel="0" collapsed="false">
      <c r="A142" s="26" t="s">
        <v>713</v>
      </c>
      <c r="B142" s="37" t="s">
        <v>75</v>
      </c>
      <c r="C142" s="28" t="s">
        <v>89</v>
      </c>
      <c r="D142" s="29" t="s">
        <v>714</v>
      </c>
      <c r="E142" s="28" t="s">
        <v>715</v>
      </c>
      <c r="F142" s="28" t="s">
        <v>716</v>
      </c>
      <c r="G142" s="30" t="s">
        <v>133</v>
      </c>
      <c r="H142" s="31" t="s">
        <v>61</v>
      </c>
      <c r="I142" s="32"/>
      <c r="J142" s="33"/>
    </row>
    <row r="143" customFormat="false" ht="23.25" hidden="false" customHeight="true" outlineLevel="0" collapsed="false">
      <c r="A143" s="26" t="s">
        <v>717</v>
      </c>
      <c r="B143" s="37" t="s">
        <v>75</v>
      </c>
      <c r="C143" s="28" t="s">
        <v>89</v>
      </c>
      <c r="D143" s="29" t="s">
        <v>718</v>
      </c>
      <c r="E143" s="28" t="s">
        <v>719</v>
      </c>
      <c r="F143" s="28" t="s">
        <v>720</v>
      </c>
      <c r="G143" s="30" t="s">
        <v>93</v>
      </c>
      <c r="H143" s="31" t="s">
        <v>61</v>
      </c>
      <c r="I143" s="32"/>
      <c r="J143" s="33"/>
    </row>
  </sheetData>
  <autoFilter ref="A1:J143"/>
  <conditionalFormatting sqref="H2:H300">
    <cfRule type="cellIs" priority="2" operator="equal" aboveAverage="0" equalAverage="0" bottom="0" percent="0" rank="0" text="" dxfId="2">
      <formula>"Đạt"</formula>
    </cfRule>
    <cfRule type="cellIs" priority="3" operator="equal" aboveAverage="0" equalAverage="0" bottom="0" percent="0" rank="0" text="" dxfId="0">
      <formula>"Lỗi"</formula>
    </cfRule>
    <cfRule type="cellIs" priority="4" operator="equal" aboveAverage="0" equalAverage="0" bottom="0" percent="0" rank="0" text="" dxfId="1">
      <formula>"Chờ thử lại"</formula>
    </cfRule>
    <cfRule type="cellIs" priority="5" operator="equal" aboveAverage="0" equalAverage="0" bottom="0" percent="0" rank="0" text="" dxfId="21">
      <formula>"Bỏ qua"</formula>
    </cfRule>
  </conditionalFormatting>
  <conditionalFormatting sqref="G2:G300">
    <cfRule type="cellIs" priority="6" operator="equal" aboveAverage="0" equalAverage="0" bottom="0" percent="0" rank="0" text="" dxfId="22">
      <formula>"Cao"</formula>
    </cfRule>
  </conditionalFormatting>
  <dataValidations count="3">
    <dataValidation allowBlank="false" error="Chọn: Chưa làm, Đạt, Lỗi, Chờ thử lại hoặc Bỏ qua" errorStyle="stop" errorTitle="Trạng thái" operator="between" showDropDown="false" showErrorMessage="false" showInputMessage="false" sqref="H2:H300" type="list">
      <formula1>"Chưa làm,Đạt,Lỗi,Chờ thử lại,Bỏ qua"</formula1>
      <formula2>0</formula2>
    </dataValidation>
    <dataValidation allowBlank="false" errorStyle="stop" operator="between" showDropDown="false" showErrorMessage="false" showInputMessage="false" sqref="G2:G300" type="list">
      <formula1>"Cao,Vừa,Thấp"</formula1>
      <formula2>0</formula2>
    </dataValidation>
    <dataValidation allowBlank="true" error="Nhập ngày dạng dd/mm/yyyy" errorStyle="stop" operator="greaterThan" showDropDown="false" showErrorMessage="false" showInputMessage="false" sqref="I2:I300" type="date">
      <formula1>36526</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2026-10-03T07:00:36Z</dcterms:created>
  <dc:creator>openpyxl</dc:creator>
  <dc:description/>
  <dc:language>en-US</dc:language>
  <cp:lastModifiedBy/>
  <dcterms:modified xsi:type="dcterms:W3CDTF">2026-10-03T07:29:32Z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