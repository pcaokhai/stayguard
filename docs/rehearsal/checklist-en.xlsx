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Guide" sheetId="1" state="visible" r:id="rId3"/>
    <sheet name="Summary" sheetId="2" state="visible" r:id="rId4"/>
    <sheet name="Checklist" sheetId="3" state="visible" r:id="rId5"/>
  </sheets>
  <definedNames>
    <definedName function="false" hidden="false" localSheetId="2" name="_xlnm.Print_Titles" vbProcedure="false">Checklist!$1:$1</definedName>
    <definedName function="false" hidden="true" localSheetId="2" name="_xlnm._FilterDatabase" vbProcedure="false">Checklist!$A$1:$J$147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<sst xmlns="http://schemas.openxmlformats.org/spreadsheetml/2006/main" count="1402" uniqueCount="763">
  <si>
    <t xml:space="preserve">StayGuard: rehearsal checklist (Gate 1)</t>
  </si>
  <si>
    <t xml:space="preserve">Updated 03 Oct 2026 (evening); latest results 04 Oct 2026. Scope: portfolio demo with no real customer; items that need a real guesthouse, real money or real infrastructure are Skipped with a reason. Automated results (QA, make demo-check) are recorded as Passed with the note 'Automated QA &lt;date&gt;'; items that need a human eye (GD-03 to GD-07, TD-05, TD-08) only receive a note and wait for you to look. TT-21, TT-22 and TT-26 stay as Retest because the test does not cover everything the expectation says. GL-13 to GL-16 from another session were merged and the duplicate IDs removed. Update 04 Oct 2026: make demo-check is green 8/8 and GitHub CI is green 9/9 (run #243). This is the English translation; the Vietnamese workbook is the working copy that the QA sync script reads.</t>
  </si>
  <si>
    <t xml:space="preserve">How to use</t>
  </si>
  <si>
    <t xml:space="preserve">Cells to fill</t>
  </si>
  <si>
    <t xml:space="preserve">Only fill the three light-yellow columns on the Checklist sheet: Status (pick from the list), Date tested and Notes, evidence. The other columns are read-only.</t>
  </si>
  <si>
    <t xml:space="preserve">Status</t>
  </si>
  <si>
    <t xml:space="preserve">Not started, Passed, Failed, Retest (fixed in code, test again after a rebuild), Skipped (give the reason in Notes). Passed when you saw the result yourself, or when the automated test passed (note "Automated QA &lt;date&gt;"). Items that need a human eye are only Passed once you have looked.</t>
  </si>
  <si>
    <t xml:space="preserve">Add a new test case</t>
  </si>
  <si>
    <t xml:space="preserve">Add a row directly below the end of the Checklist table (up to row 300) and keep the ID prefix of the right group, for example TT-19. The Summary sheet recalculates by itself.</t>
  </si>
  <si>
    <t xml:space="preserve">Filter by role or priority</t>
  </si>
  <si>
    <t xml:space="preserve">Use the filter buttons in the header row. Suggested order: Setup, Payments, Shifts and cash, then the other groups.</t>
  </si>
  <si>
    <t xml:space="preserve">Example of a filled row</t>
  </si>
  <si>
    <t xml:space="preserve">Passed</t>
  </si>
  <si>
    <t xml:space="preserve">Date tested</t>
  </si>
  <si>
    <t xml:space="preserve">03 Oct 2026</t>
  </si>
  <si>
    <t xml:space="preserve">Notes, evidence</t>
  </si>
  <si>
    <t xml:space="preserve">PH1003A1012, 80,000đ, money arrived 01:17:59. Webhook 993 ms.</t>
  </si>
  <si>
    <t xml:space="preserve">Safety rules when testing</t>
  </si>
  <si>
    <t xml:space="preserve">Do not transfer real money</t>
  </si>
  <si>
    <t xml:space="preserve">Test mode uses fake accounts. Scanning the QR with a banking app is only to look and then exit.</t>
  </si>
  <si>
    <t xml:space="preserve">Hide sensitive information when sharing</t>
  </si>
  <si>
    <t xml:space="preserve">One-time PINs, whsec_ keys and the hook ID in the webhook path: hide them with ****** before sending to anyone.</t>
  </si>
  <si>
    <t xml:space="preserve">Enter keys and PINs only at hidden prompts</t>
  </si>
  <si>
    <t xml:space="preserve">Never put a key or PIN on the command line.</t>
  </si>
  <si>
    <t xml:space="preserve">Rebuilding the stack</t>
  </si>
  <si>
    <t xml:space="preserve">After make rehearse-down then make rehearse: the hook ID, key and PINs all change. Update the webhook URL in SePay and run set-secret again.</t>
  </si>
  <si>
    <t xml:space="preserve">The tunnel address changes every time</t>
  </si>
  <si>
    <t xml:space="preserve">Each time cloudflared is restarted, update the webhook URL in SePay.</t>
  </si>
  <si>
    <t xml:space="preserve">Two roles at once</t>
  </si>
  <si>
    <t xml:space="preserve">Sessions use cookies: use two Chrome profiles, or one normal window plus one incognito window, for each role.</t>
  </si>
  <si>
    <t xml:space="preserve">Test data in use</t>
  </si>
  <si>
    <t xml:space="preserve">App (your machine)</t>
  </si>
  <si>
    <t xml:space="preserve">http://localhost:18090/vi/</t>
  </si>
  <si>
    <t xml:space="preserve">Guesthouse code, accounts</t>
  </si>
  <si>
    <t xml:space="preserve">Guesthouse code: rehearse. Owner: owner. Receptionist: linh. Manager and Housekeeping: create them yourself in CB-11.</t>
  </si>
  <si>
    <t xml:space="preserve">SePay test bank account</t>
  </si>
  <si>
    <t xml:space="preserve">0000000001 (Vietcombank business, VA required). Create an official SBSEPAY… VA in Test mode, then choose it when simulating.</t>
  </si>
  <si>
    <t xml:space="preserve">Bill code</t>
  </si>
  <si>
    <t xml:space="preserve">Shown on the receptionist's QR screen, for example PH1003A1012. Use it word for word as the content when simulating a transaction.</t>
  </si>
  <si>
    <t xml:space="preserve">Numbers used in the tests (per docs/15 and the sessions' reports)</t>
  </si>
  <si>
    <t xml:space="preserve">QR expiry</t>
  </si>
  <si>
    <t xml:space="preserve">30 minutes</t>
  </si>
  <si>
    <t xml:space="preserve">Short-transfer alert</t>
  </si>
  <si>
    <t xml:space="preserve">15 minutes after the first short transfer, by the server clock. The job runs every 5 minutes.</t>
  </si>
  <si>
    <t xml:space="preserve">Sign-in lock</t>
  </si>
  <si>
    <t xml:space="preserve">5 wrong attempts lock for 15 minutes</t>
  </si>
  <si>
    <t xml:space="preserve">Edit check-in time</t>
  </si>
  <si>
    <t xml:space="preserve">At most 60 minutes later than the recorded time, never in the future</t>
  </si>
  <si>
    <t xml:space="preserve">History the receptionist can see</t>
  </si>
  <si>
    <t xml:space="preserve">The last 7 days (the owner can change this in Settings)</t>
  </si>
  <si>
    <t xml:space="preserve">Webhook signature window</t>
  </si>
  <si>
    <t xml:space="preserve">300 seconds by default (SEPAY_TIMESTAMP_TOLERANCE). SePay retries up to 7 times over about 33 minutes.</t>
  </si>
  <si>
    <t xml:space="preserve">SePay simulation limit</t>
  </si>
  <si>
    <t xml:space="preserve">500 per day</t>
  </si>
  <si>
    <t xml:space="preserve">Rehearsal progress summary</t>
  </si>
  <si>
    <t xml:space="preserve">Figures are calculated from the Checklist sheet. Do not type in this sheet.</t>
  </si>
  <si>
    <t xml:space="preserve">Group</t>
  </si>
  <si>
    <t xml:space="preserve">Total</t>
  </si>
  <si>
    <t xml:space="preserve">Failed</t>
  </si>
  <si>
    <t xml:space="preserve">Retest</t>
  </si>
  <si>
    <t xml:space="preserve">Skipped</t>
  </si>
  <si>
    <t xml:space="preserve">Not started</t>
  </si>
  <si>
    <t xml:space="preserve">Done</t>
  </si>
  <si>
    <t xml:space="preserve">Setup</t>
  </si>
  <si>
    <t xml:space="preserve">Payments</t>
  </si>
  <si>
    <t xml:space="preserve">Shifts and cash</t>
  </si>
  <si>
    <t xml:space="preserve">Stays</t>
  </si>
  <si>
    <t xml:space="preserve">Housekeeping and maintenance</t>
  </si>
  <si>
    <t xml:space="preserve">Guest ID</t>
  </si>
  <si>
    <t xml:space="preserve">Sign-in and permissions</t>
  </si>
  <si>
    <t xml:space="preserve">Owner: monitoring</t>
  </si>
  <si>
    <t xml:space="preserve">Owner: settings, finance, staff</t>
  </si>
  <si>
    <t xml:space="preserve">Webhook security</t>
  </si>
  <si>
    <t xml:space="preserve">Operations and backup</t>
  </si>
  <si>
    <t xml:space="preserve">UI and devices</t>
  </si>
  <si>
    <t xml:space="preserve">Go-live</t>
  </si>
  <si>
    <t xml:space="preserve">Go-live criteria</t>
  </si>
  <si>
    <t xml:space="preserve">High-priority items not Passed (Skipped not counted)</t>
  </si>
  <si>
    <t xml:space="preserve">Items currently Failed</t>
  </si>
  <si>
    <t xml:space="preserve">Conclusion</t>
  </si>
  <si>
    <t xml:space="preserve">Go-live rule: every High-priority item must be Passed (or Skipped with a reason in the Notes column) and no item may be Failed. Retest counts as not Passed. This is a criterion the project set for itself, not an outside regulation.</t>
  </si>
  <si>
    <t xml:space="preserve">ID</t>
  </si>
  <si>
    <t xml:space="preserve">Role</t>
  </si>
  <si>
    <t xml:space="preserve">Test case</t>
  </si>
  <si>
    <t xml:space="preserve">Steps</t>
  </si>
  <si>
    <t xml:space="preserve">Expected result</t>
  </si>
  <si>
    <t xml:space="preserve">Priority</t>
  </si>
  <si>
    <t xml:space="preserve">CB-01</t>
  </si>
  <si>
    <t xml:space="preserve">Khai</t>
  </si>
  <si>
    <t xml:space="preserve">make smoke passes</t>
  </si>
  <si>
    <t xml:space="preserve">1) cd web &amp;&amp; npm ci
2) make smoke</t>
  </si>
  <si>
    <t xml:space="preserve">Reports "2 passed" (basic money flow and the short-transfer flow).</t>
  </si>
  <si>
    <t xml:space="preserve">High</t>
  </si>
  <si>
    <t xml:space="preserve">More tests now: make smoke runs 9 specs (WEB-1 reported 9 passed on its own machine, not yours). Update the expectation when you run it.
make smoke green inside make demo-check (04 Oct 2026, automated QA); it now runs 10 specs.</t>
  </si>
  <si>
    <t xml:space="preserve">CB-02</t>
  </si>
  <si>
    <t xml:space="preserve">Build the rehearsal stack</t>
  </si>
  <si>
    <t xml:space="preserve">make rehearse</t>
  </si>
  <si>
    <t xml:space="preserve">Prints the guesthouse code, the one-time PINs for the owner and the receptionist, and the webhook path. api, db and jobs are running.</t>
  </si>
  <si>
    <t xml:space="preserve">Works after MinIO was removed from the default path.</t>
  </si>
  <si>
    <t xml:space="preserve">CB-03</t>
  </si>
  <si>
    <t xml:space="preserve">Receiving account number matches the SePay test account</t>
  </si>
  <si>
    <t xml:space="preserve">1) REHEARSE_ACCOUNT_NO=0000000001 make rehearse
2) Run sepay status</t>
  </si>
  <si>
    <t xml:space="preserve">The account line shows ******0001, default=true, CONNECTED.</t>
  </si>
  <si>
    <t xml:space="preserve">CB-04</t>
  </si>
  <si>
    <t xml:space="preserve">Cloudflare tunnel is running</t>
  </si>
  <si>
    <t xml:space="preserve">cloudflared tunnel --url http://localhost:18090</t>
  </si>
  <si>
    <t xml:space="preserve">An https://….trycloudflare.com address appears; SePay can reach the app.</t>
  </si>
  <si>
    <t xml:space="preserve">The address changes every time the tunnel restarts: update the webhook URL in SePay.</t>
  </si>
  <si>
    <t xml:space="preserve">CB-05</t>
  </si>
  <si>
    <t xml:space="preserve">Create the SePay Test mode webhook</t>
  </si>
  <si>
    <t xml:space="preserve">URL = tunnel address + webhook path; Money in; JSON; auto-retry ON; "Use for payment verification" ON; "Only send when there is a payment code" OFF; code filter EMPTY; HMAC-SHA256</t>
  </si>
  <si>
    <t xml:space="preserve">It saves. A simulated transaction appears in the delivery history.</t>
  </si>
  <si>
    <t xml:space="preserve">Webhook succeeded in 993–1147 ms.</t>
  </si>
  <si>
    <t xml:space="preserve">CB-06</t>
  </si>
  <si>
    <t xml:space="preserve">HMAC key matches between SePay and the server</t>
  </si>
  <si>
    <t xml:space="preserve">1) set-secret (hidden prompt) with the SePay key
2) sepay status</t>
  </si>
  <si>
    <t xml:space="preserve">connection CONNECTED, secret stored true, signature check valid.</t>
  </si>
  <si>
    <t xml:space="preserve">Last delivery received at 18:10:26 UTC.</t>
  </si>
  <si>
    <t xml:space="preserve">CB-07</t>
  </si>
  <si>
    <t xml:space="preserve">Replace the SePay key that was pasted into chat</t>
  </si>
  <si>
    <t xml:space="preserve">1) SePay: regenerate the key
2) set-secret with the new key
3) Simulate a transaction</t>
  </si>
  <si>
    <t xml:space="preserve">Delivery history returns 200 with the new key. The old key is not used anywhere.</t>
  </si>
  <si>
    <t xml:space="preserve">The old key was pasted into chat: regenerate it in SePay and run set-secret again with the new one.
Skipped: the project is a portfolio demo with no real customer. The SePay key is only a Test mode key. Do this when connecting real SePay.
Portfolio demo scope, no real customer. Test mode key. Change it if reused for a public demo.</t>
  </si>
  <si>
    <t xml:space="preserve">CB-08</t>
  </si>
  <si>
    <t xml:space="preserve">Store DATA_ENCRYPTION_KEY outside the backups</t>
  </si>
  <si>
    <t xml:space="preserve">Copy each environment's key into a password manager; production uses its own key, not the rehearse key.</t>
  </si>
  <si>
    <t xml:space="preserve">The key is stored apart from the database backup. If the key is lost, PINs, ID numbers, account numbers and the SePay key cannot be read again.</t>
  </si>
  <si>
    <t xml:space="preserve">Skipped: the project is a portfolio demo with no real customer. Demo data can be recreated. Do this when there is real data.
Portfolio demo scope, no real customer. No real data to protect.</t>
  </si>
  <si>
    <t xml:space="preserve">CB-09</t>
  </si>
  <si>
    <t xml:space="preserve">Receptionist, Owner</t>
  </si>
  <si>
    <t xml:space="preserve">First sign-in forces a new PIN</t>
  </si>
  <si>
    <t xml:space="preserve">Sign in as owner and linh with the one-time PIN</t>
  </si>
  <si>
    <t xml:space="preserve">A new PIN is required; PINs 123456 and 111111 are rejected.</t>
  </si>
  <si>
    <t xml:space="preserve">Medium</t>
  </si>
  <si>
    <t xml:space="preserve">CB-10</t>
  </si>
  <si>
    <t xml:space="preserve">Backup and test restore</t>
  </si>
  <si>
    <t xml:space="preserve">make backup-test</t>
  </si>
  <si>
    <t xml:space="preserve">PASS: backup-test; row counts match in every table (last time: 34 tables).</t>
  </si>
  <si>
    <t xml:space="preserve">Skipped: the project is a portfolio demo with no real customer. Do this when there is real data worth keeping.</t>
  </si>
  <si>
    <t xml:space="preserve">CB-11</t>
  </si>
  <si>
    <t xml:space="preserve">Owner</t>
  </si>
  <si>
    <t xml:space="preserve">Create Manager and Housekeeping accounts to test permissions</t>
  </si>
  <si>
    <t xml:space="preserve">Owner: Staff, Add. Choose the position, app access and building. Save the one-time PIN.</t>
  </si>
  <si>
    <t xml:space="preserve">Both accounts can sign in. Used by the Sign-in and permissions items.</t>
  </si>
  <si>
    <t xml:space="preserve">Low</t>
  </si>
  <si>
    <t xml:space="preserve">TT-01</t>
  </si>
  <si>
    <t xml:space="preserve">Receptionist, SePay</t>
  </si>
  <si>
    <t xml:space="preserve">Transfer with the exact amount and bill code is paid automatically</t>
  </si>
  <si>
    <t xml:space="preserve">1) Receptionist: check in, check out, choose Bank transfer
2) SePay, Simulate transaction: exact amount, content = the bill code on the QR screen (clear the default content), choose the VA
3) Send</t>
  </si>
  <si>
    <t xml:space="preserve">The QR screen switches to Paid within about 3 seconds. The room becomes To clean. The owner's Transactions shows Matched.</t>
  </si>
  <si>
    <t xml:space="preserve">PH1003A1012, 80,000đ, money arrived at 01:17:59.</t>
  </si>
  <si>
    <t xml:space="preserve">TT-02</t>
  </si>
  <si>
    <t xml:space="preserve">Owner, SePay</t>
  </si>
  <si>
    <t xml:space="preserve">Content without a bill code goes to Unmatched</t>
  </si>
  <si>
    <t xml:space="preserve">Simulate 100,000đ with the default content</t>
  </si>
  <si>
    <t xml:space="preserve">Owner's Transactions: Unmatched, with a Link to bill button. No bill changes status.</t>
  </si>
  <si>
    <t xml:space="preserve">The 100,000đ transfer is left pending and is used for TT-03.</t>
  </si>
  <si>
    <t xml:space="preserve">TT-03</t>
  </si>
  <si>
    <t xml:space="preserve">Link an unmatched transfer to a bill with the exact amount</t>
  </si>
  <si>
    <t xml:space="preserve">1) Receptionist: create a bill with exactly 100,000đ due (A102), choose Bank transfer, do NOT simulate money
2) Owner: Transactions, Link to bill
3) Pick the bill labelled Amount matches, confirm</t>
  </si>
  <si>
    <t xml:space="preserve">The bill is Paid. The receptionist's QR screen updates by itself. The receipt has the 100,000đ transfer. The activity log records the link.</t>
  </si>
  <si>
    <t xml:space="preserve">A102, PH1003A1022, 100,000đ, Matched. Receipt and Activity log not confirmed. Wrong time displayed: see TT-25.</t>
  </si>
  <si>
    <t xml:space="preserve">TT-04</t>
  </si>
  <si>
    <t xml:space="preserve">Linking to a bill with the wrong amount is refused</t>
  </si>
  <si>
    <t xml:space="preserve">1) Simulate 50,000đ with unknown content
2) Create an 80,000đ unpaid bill
3) The owner tries to link the 50,000đ transfer to it</t>
  </si>
  <si>
    <t xml:space="preserve">The bill shows Different amount. Confirm is refused with an amount-mismatch message. The bill does not change.</t>
  </si>
  <si>
    <t xml:space="preserve">Different-amount bill: the confirm button is disabled and shows "This transfer is 50,000đ, the bill still needs 80,000đ". The wrong "already linked" message (the web read the HTTP status instead of the error code) is fixed. The 50,000đ transfer is still pending and is used for other tests.</t>
  </si>
  <si>
    <t xml:space="preserve">TT-05</t>
  </si>
  <si>
    <t xml:space="preserve">Receptionist</t>
  </si>
  <si>
    <t xml:space="preserve">A receptionist cannot link money</t>
  </si>
  <si>
    <t xml:space="preserve">Sign in as linh, open the owner's Transactions page</t>
  </si>
  <si>
    <t xml:space="preserve">No-permission screen. No Link button.</t>
  </si>
  <si>
    <t xml:space="preserve">Tested in the tab that is signed in. Opening a new tab redirected to sign-in (sessionStorage is per tab): see DN-07 and DN-13.
Automated QA 03 Oct 2026.</t>
  </si>
  <si>
    <t xml:space="preserve">TT-06</t>
  </si>
  <si>
    <t xml:space="preserve">A transfer cannot be linked twice</t>
  </si>
  <si>
    <t xml:space="preserve">After TT-03, try to link the already-linked transfer again</t>
  </si>
  <si>
    <t xml:space="preserve">No link button, or it is refused because it is already linked.</t>
  </si>
  <si>
    <t xml:space="preserve">Automated QA 03 Oct 2026.</t>
  </si>
  <si>
    <t xml:space="preserve">TT-07</t>
  </si>
  <si>
    <t xml:space="preserve">Short transfer: QR for the remainder</t>
  </si>
  <si>
    <t xml:space="preserve">1) 80,000đ bill, choose Bank transfer
2) Simulate 70,000đ with the exact bill code</t>
  </si>
  <si>
    <t xml:space="preserve">The screen shows Received 70,000đ, Still to pay 10,000đ. The new QR is for exactly 10,000đ, same bill code. No amount-mismatch alert right away. The bill is not paid.</t>
  </si>
  <si>
    <t xml:space="preserve">TT-08</t>
  </si>
  <si>
    <t xml:space="preserve">SePay</t>
  </si>
  <si>
    <t xml:space="preserve">Top-up in full marks the bill Paid</t>
  </si>
  <si>
    <t xml:space="preserve">Continue from TT-07: simulate 10,000đ with the same bill code</t>
  </si>
  <si>
    <t xml:space="preserve">Becomes Paid automatically. The receipt has two transfer lines.</t>
  </si>
  <si>
    <t xml:space="preserve">Automated QA + code reading (not hand-tested): the receipt has only one cumulative transfer line because ListReceiptPayments only takes PAID payments; the short-transfer line stays MISMATCH in Needs action after the bill is paid. Assigned to API-2.
Automated QA: the receipt has one cumulative transfer line, not two; the short transfer stays in Needs action after the bill is paid. Code reading: ListReceiptPayments only takes PAID payments, one line per payment. Assigned to API-2.
Automated QA 03 Oct 2026.</t>
  </si>
  <si>
    <t xml:space="preserve">TT-09</t>
  </si>
  <si>
    <t xml:space="preserve">A short transfer left over 15 minutes raises a Not fully paid alert</t>
  </si>
  <si>
    <t xml:space="preserve">Leave a bill with 70,000đ received out of 80,000đ for about 15–20 minutes</t>
  </si>
  <si>
    <t xml:space="preserve">The owner gets exactly one Not fully paid alert showing the amount still due. The jobs service runs every 5 minutes, so it can be a few minutes late.</t>
  </si>
  <si>
    <t xml:space="preserve">TT-10</t>
  </si>
  <si>
    <t xml:space="preserve">Overpayment</t>
  </si>
  <si>
    <t xml:space="preserve">80,000đ bill, simulate 90,000đ with the exact code</t>
  </si>
  <si>
    <t xml:space="preserve">The bill is Paid. The owner gets an Overpaid alert showing 10,000đ.</t>
  </si>
  <si>
    <t xml:space="preserve">TT-11</t>
  </si>
  <si>
    <t xml:space="preserve">Outgoing transactions are ignored</t>
  </si>
  <si>
    <t xml:space="preserve">1) SePay: temporarily change the webhook transaction type to All
2) Simulate Money out
3) Change it back to Money in</t>
  </si>
  <si>
    <t xml:space="preserve">No bill changes status. It does not appear as incoming money. Remember to reset the webhook after testing.</t>
  </si>
  <si>
    <t xml:space="preserve">The Money out button is greyed out because the webhook only listens to Money in.
Automated QA + code reading, not hand-tested: outgoing money was stored as 'Unmatched' and could be linked to a bill (InsertPaymentEvent always wrote UNMATCHED). Assigned to API-2 (result IGNORED).
Fixed (API-2 2b9b88f: outgoing money stored as IGNORED, not listed, not linkable). Automated QA passes on the new build. Rows stored before migration 0031 cannot be reclassified.
Fixed (API-2 2b9b88f / API-1 185a589, b7aa449 / WEB-2 e174d33, 695a060). Automated QA passes on the new build. Retest after rebuild.
Automated QA 03 Oct 2026.</t>
  </si>
  <si>
    <t xml:space="preserve">TT-12</t>
  </si>
  <si>
    <t xml:space="preserve">Resending the same transaction creates no duplicate</t>
  </si>
  <si>
    <t xml:space="preserve">SePay: Delivery history, manually resend a transaction that was already sent</t>
  </si>
  <si>
    <t xml:space="preserve">Transactions shows no extra row. The total does not change.</t>
  </si>
  <si>
    <t xml:space="preserve">TT-13</t>
  </si>
  <si>
    <t xml:space="preserve">Deposit larger than the bill means a cash refund</t>
  </si>
  <si>
    <t xml:space="preserve">Check in with a 100,000đ deposit and an 80,000đ bill, check out</t>
  </si>
  <si>
    <t xml:space="preserve">No QR option. Only the button Refund to guest 20,000đ (cash). The bill is Paid. The refund is in the receptionist's shift.</t>
  </si>
  <si>
    <t xml:space="preserve">A101 and A102: only the button "Refund to guest 20,000đ (cash)", the room becomes To clean. The refund row in Transactions showed "0đ" (TT-25).
After the rebuild the refund row in Transactions shows −20,000đ, no longer 0đ (see TT-25).</t>
  </si>
  <si>
    <t xml:space="preserve">TT-14</t>
  </si>
  <si>
    <t xml:space="preserve">Cash payment</t>
  </si>
  <si>
    <t xml:space="preserve">Check out, choose Cash</t>
  </si>
  <si>
    <t xml:space="preserve">Paid. The owner's Transactions shows Cash. The shift's expected cash goes up by the right amount.</t>
  </si>
  <si>
    <t xml:space="preserve">A101, PH1003A101, 80,000đ cash at 00:38.</t>
  </si>
  <si>
    <t xml:space="preserve">TT-15</t>
  </si>
  <si>
    <t xml:space="preserve">QR expires</t>
  </si>
  <si>
    <t xml:space="preserve">Wait 30 minutes (or ask a dev to force expiry on the test stack), stay on the QR screen</t>
  </si>
  <si>
    <t xml:space="preserve">The screen shows QR expired by itself, with a button to create a new QR. Money sent to the old code is still recorded when SePay reports it.</t>
  </si>
  <si>
    <t xml:space="preserve">Automated QA 03 Oct 2026. The QR never turns EXPIRED by time: ExpirePending only runs when a new payment is created, and qrExpiryMinutes is only stored. Proposal: derive EXPIRED on read and keep the row PENDING so money to the old code still matches. Assigned to API-2.
Automated QA 04 Oct 2026: an overdue QR returns EXPIRED (e640f86, derived on read), money to the old code still matches; WEB-1's smoke.then-expiry e2e passes, demo-check green.</t>
  </si>
  <si>
    <t xml:space="preserve">TT-16</t>
  </si>
  <si>
    <t xml:space="preserve">Scan the QR with a real banking app (no money sent)</t>
  </si>
  <si>
    <t xml:space="preserve">Scan the QR then EXIT, do not confirm the transfer</t>
  </si>
  <si>
    <t xml:space="preserve">Correct account, amount and content = the bill code. Note in Notes whether each bank's amount and content fields are editable.</t>
  </si>
  <si>
    <t xml:space="preserve">The receptionist's QR screen shows the main account number *******0001. A Vietcombank business account requires a VA: see GL-04.
Skipped: the project is a portfolio demo with no real customer. Needs a real bank. The demo uses the Simulate incoming money button.
Portfolio demo scope, no real customer. No real banking app needed; the test mode QR is enough for the demo.</t>
  </si>
  <si>
    <t xml:space="preserve">TT-17</t>
  </si>
  <si>
    <t xml:space="preserve">Money into another account does not count for a bill</t>
  </si>
  <si>
    <t xml:space="preserve">1) SePay: create a second test account
2) Simulate a transfer into that account, content = a pending bill code</t>
  </si>
  <si>
    <t xml:space="preserve">No bill becomes Paid.</t>
  </si>
  <si>
    <t xml:space="preserve">Optional.
Fixed (API-2 2b9b88f: money into an unknown account is stored as IGNORED). QA reported a failure but the test compared against every Unmatched row with the same amount in the shared guesthouse; QA fixed the test (unique amount, row counts before and after).
Fixed (API-2 2b9b88f). The QA test was faulty: it matched by amount and picked up UNMATCHED rows left by other specs; QA switched to a unique amount.
Automated QA 03 Oct 2026.</t>
  </si>
  <si>
    <t xml:space="preserve">TT-18</t>
  </si>
  <si>
    <t xml:space="preserve">Collect cash for the remainder after a short transfer</t>
  </si>
  <si>
    <t xml:space="preserve">80,000đ bill with 70,000đ received; the receptionist chooses to take cash</t>
  </si>
  <si>
    <t xml:space="preserve">Only 10,000đ cash is taken. The bill is Paid. The shift records 10,000đ cash.</t>
  </si>
  <si>
    <t xml:space="preserve">TT-19</t>
  </si>
  <si>
    <t xml:space="preserve">Check out, leave the payment screen, go back to the map</t>
  </si>
  <si>
    <t xml:space="preserve">Check out, choose bank transfer, go back to the room map (or reload the page), tap that room</t>
  </si>
  <si>
    <t xml:space="preserve">The room tile says Awaiting payment with the amount still due. The detail panel has Continue payment with the same old bill code. No maintenance text, no Check out button.</t>
  </si>
  <si>
    <t xml:space="preserve">03 Oct 08:43: the tile said Awaiting payment but the detail panel said Room under maintenance (A101, A103). Cause: the default branch of the detail panel. API-2 pushed pendingPayment; WEB-1 had not finished the continue button.
Fixed (WEB-1 4c8c1a2): Awaiting payment tile, panel with total, received and still due, Continue payment, Take cash, no Check out. Owner and receptionist, phone and desktop; e2e passes on the real API. Retest after rebuild.
Automated QA 03 Oct 2026.</t>
  </si>
  <si>
    <t xml:space="preserve">TT-20</t>
  </si>
  <si>
    <t xml:space="preserve">Checked-out bill with no money after 30 minutes</t>
  </si>
  <si>
    <t xml:space="preserve">Check out with bank transfer, do not simulate money, wait about 30 minutes</t>
  </si>
  <si>
    <t xml:space="preserve">The owner gets exactly one Checked out, not collected alert. The bill appears in the not-collected list at shift close.</t>
  </si>
  <si>
    <t xml:space="preserve">The alert "Checked out, not collected" appeared (09:15, 09:23). Wrong label for the refund case: see TT-26.</t>
  </si>
  <si>
    <t xml:space="preserve">TT-21</t>
  </si>
  <si>
    <t xml:space="preserve">Deposit larger than the bill, leave the screen before tapping Refund</t>
  </si>
  <si>
    <t xml:space="preserve">100,000đ deposit, 80,000đ bill, check out, leave before refunding, come back to the room</t>
  </si>
  <si>
    <t xml:space="preserve">The room reopens with the Refund to guest button. After tapping: Paid, the refund is in the shift. Old data is handled too.</t>
  </si>
  <si>
    <t xml:space="preserve">03 Oct 08:48: A102 was stuck, the tile lost its rental type and check-in time, and could not be tapped.
Partly fixed (WEB-1 f6add89): Refund pending ₫X tile and the Refund to guest button when reopened. Only a unit test so far, not run with a real deposit refund. Retest after rebuild.
Automated QA passes. Kept as Retest because the expectation includes 'old data is handled too', and the test uses a new guesthouse.
demo-check green 04 Oct. Still waiting for you to try it with old data.</t>
  </si>
  <si>
    <t xml:space="preserve">TT-22</t>
  </si>
  <si>
    <t xml:space="preserve">Open the checkout screen, wait a few minutes, then collect money</t>
  </si>
  <si>
    <t xml:space="preserve">Open the checkout screen, wait 3–5 minutes, then collect money</t>
  </si>
  <si>
    <t xml:space="preserve">Check-out time and amount are correct according to the rule API-2 chose. The bill does not end up lower than reality.</t>
  </si>
  <si>
    <t xml:space="preserve">API-2 must answer: is the check-out time fixed when the screen opens or when payment is confirmed?
WEB-1 reports the API fixes the check-out time when payment is confirmed (leaving without confirming keeps the stay active). Needs confirming with API-2, then a hand test.
Automated QA passes. Kept as Retest until API-2 confirms the check-out time rule (WEB-1 reports: fixed on confirmation).
demo-check green 04 Oct. Still waiting for API-2 to confirm the check-out time rule.</t>
  </si>
  <si>
    <t xml:space="preserve">TT-23</t>
  </si>
  <si>
    <t xml:space="preserve">After a page reload, open a room that was checked out but not paid</t>
  </si>
  <si>
    <t xml:space="preserve">Check out, choose bank transfer, reload the page, tap that room</t>
  </si>
  <si>
    <t xml:space="preserve">The continue-payment screen with the same old bill code. The checkout form does not reappear and no second payment is created.</t>
  </si>
  <si>
    <t xml:space="preserve">03 Oct A103: after the reload, the detail panel went back to the choose-payment-method screen.
Fixed (WEB-1 f6add89): reopening a checked-out room continues the same payment, and the QR button reuses the existing payment. e2e passes. Retest after rebuild.
Automated QA 03 Oct 2026.</t>
  </si>
  <si>
    <t xml:space="preserve">TT-24</t>
  </si>
  <si>
    <t xml:space="preserve">Open a checked-out stay from the View button in an alert</t>
  </si>
  <si>
    <t xml:space="preserve">Owner: Alerts, View a checked-out stay</t>
  </si>
  <si>
    <t xml:space="preserve">Read-only summary: Checked out at, payment status, bill. No Check out, Add extras, Edit time or Move room. The API refuses those actions (409).</t>
  </si>
  <si>
    <t xml:space="preserve">03 Oct 10:16: A103 showed Stayed 0 hours and a Check out button. API-2 (409 STAY_NOT_ACTIVE) and WEB-1 (dc15ef9) fixed it.
Automated QA 03 Oct 2026.</t>
  </si>
  <si>
    <t xml:space="preserve">TT-25</t>
  </si>
  <si>
    <t xml:space="preserve">Bank time and refund lines in Transactions</t>
  </si>
  <si>
    <t xml:space="preserve">Owner: Transactions, look at a linked transfer and a deposit refund</t>
  </si>
  <si>
    <t xml:space="preserve">Shows the bank-reported time, plus linked-at if it differs. A deposit refund shows a negative amount (Cash refund −20,000đ), no longer 0đ Cash.</t>
  </si>
  <si>
    <t xml:space="preserve">The 100,000đ that arrived at 01:10 showed 08:33 (link time); the refund showed "0đ Cash". The API already has receivedAt, settledAt, CASH_REFUND; WEB-2 had not displayed them.
Screenshot of Transactions again (rehearsal stack, after rebuild): 100,000đ arrived 01:10 with 'linked at 08:33'; the refund shows −20,000đ (Cash refund). Cash tab not checked.</t>
  </si>
  <si>
    <t xml:space="preserve">TT-26</t>
  </si>
  <si>
    <t xml:space="preserve">Reopened checkout screen shows the right deposit</t>
  </si>
  <si>
    <t xml:space="preserve">Check in with a deposit, check out, leave, reopen the checkout screen</t>
  </si>
  <si>
    <t xml:space="preserve">The Deposit paid line equals the real deposit; Amount due = total minus deposit minus money already received.</t>
  </si>
  <si>
    <t xml:space="preserve">03 Oct 08:42: A101 showed deposit 0đ, amount due 80,000đ. API-2 reconciles the deposit on read and fixed old data; WEB-1 reads the right field. Root cause not reproduced.
Automated QA passes on a new guesthouse. The original root cause was not reproduced, so kept as Retest until you reopen the checkout screen on your own data.
demo-check green 04 Oct after fixing the test (it reads the right deposit row; the screenshot showed deposit ₫250,000). Still waiting for you to reopen the checkout screen on your own data.</t>
  </si>
  <si>
    <t xml:space="preserve">TT-27</t>
  </si>
  <si>
    <t xml:space="preserve">A refund alert is not worded as unpaid</t>
  </si>
  <si>
    <t xml:space="preserve">Owner: Alerts, look at the alert for a room with a deposit larger than the bill</t>
  </si>
  <si>
    <t xml:space="preserve">Shows "Refund 20,000đ pending for the guest" (REFUND_PENDING), not "20,000đ still unpaid".</t>
  </si>
  <si>
    <t xml:space="preserve">03 Oct A101, A102 said "20,000đ still unpaid". API-2 added REFUND_PENDING and changed the old alert; WEB-2 reads it.
Automated QA 03 Oct 2026.</t>
  </si>
  <si>
    <t xml:space="preserve">TT-28</t>
  </si>
  <si>
    <t xml:space="preserve">Khai, Owner</t>
  </si>
  <si>
    <t xml:space="preserve">QR and webhook for accounts that require a VA</t>
  </si>
  <si>
    <t xml:space="preserve">1) An account that requires a VA (Vietcombank business)
2) Check the QR points to the VA
3) Simulate a transaction into the VA</t>
  </si>
  <si>
    <t xml:space="preserve">The QR points to the VA. The webhook matches by the VA field. The bill becomes Paid.</t>
  </si>
  <si>
    <t xml:space="preserve">The QR currently points to the main account number (*0001). The VA prompt for API-1 may not have been handed over. Need to know the real guesthouse's account type (GL-04).
Skipped: the project is a portfolio demo with no real customer. There is no real guesthouse; do this when connecting a bank that requires a VA (for example BIDV).
Portfolio demo scope, no real customer. No real guesthouse; SePay test mode works with the main account number. Do this when a customer uses a bank that requires a VA (for example BIDV).</t>
  </si>
  <si>
    <t xml:space="preserve">TT-29</t>
  </si>
  <si>
    <t xml:space="preserve">A tile awaiting payment never says "Still to pay 0đ"</t>
  </si>
  <si>
    <t xml:space="preserve">Open the room map while a room is awaiting payment or awaiting a refund</t>
  </si>
  <si>
    <t xml:space="preserve">If the amount still due is 0, show no number: show "Refund pending ₫X" when money is owed back, or "Check the bill".</t>
  </si>
  <si>
    <t xml:space="preserve">A101 said "Still to pay 0đ" while the checkout screen said 80,000đ due. WEB-1 was given the tile label rule.
Fixed (WEB-1 f6add89): Still to pay ₫X, Refund pending ₫X or Check the bill, no more Still to pay 0đ. Unit tests pass in vi and en. Retest after rebuild.
Automated QA 03 Oct 2026.</t>
  </si>
  <si>
    <t xml:space="preserve">CA-01</t>
  </si>
  <si>
    <t xml:space="preserve">A shift opens at the first cash action</t>
  </si>
  <si>
    <t xml:space="preserve">The receptionist takes cash or a deposit</t>
  </si>
  <si>
    <t xml:space="preserve">The Shift screen shows the opening float and the cash taken.</t>
  </si>
  <si>
    <t xml:space="preserve">Shift started 00:30, opening float 0đ, cash taken in the shift 380,000đ.</t>
  </si>
  <si>
    <t xml:space="preserve">CA-02</t>
  </si>
  <si>
    <t xml:space="preserve">Record an expense</t>
  </si>
  <si>
    <t xml:space="preserve">Shift, Pay out: amount, expense, note</t>
  </si>
  <si>
    <t xml:space="preserve">Cannot be saved without a note. Expected cash drops by the right amount. Cannot be edited or deleted after saving.</t>
  </si>
  <si>
    <t xml:space="preserve">CA-03</t>
  </si>
  <si>
    <t xml:space="preserve">Close a shift with an exact count and no partly paid bills</t>
  </si>
  <si>
    <t xml:space="preserve">Count by denomination until it matches, close the shift</t>
  </si>
  <si>
    <t xml:space="preserve">Difference shows Matches. Closing needs no reason. The figures are locked.</t>
  </si>
  <si>
    <t xml:space="preserve">CA-04</t>
  </si>
  <si>
    <t xml:space="preserve">Close a shift that is short of cash</t>
  </si>
  <si>
    <t xml:space="preserve">Count 70,000đ short, enter a reason, close the shift</t>
  </si>
  <si>
    <t xml:space="preserve">Shows Short 70,000đ. The Close button is locked until there is a reason. The owner gets a cash-shortage alert. Shift reconciliation shows the difference.</t>
  </si>
  <si>
    <t xml:space="preserve">Only saw the screen: Short 340,000đ, the Close button locked until a reason was entered (10:12). Did not press close. The 340,000đ differs from the overview's 320,000đ: see CA-10.
Automated QA 03 Oct 2026.</t>
  </si>
  <si>
    <t xml:space="preserve">CA-05</t>
  </si>
  <si>
    <t xml:space="preserve">Close a shift while a bill is not fully paid</t>
  </si>
  <si>
    <t xml:space="preserve">A bill has 70,000đ received out of 80,000đ, cash count matches</t>
  </si>
  <si>
    <t xml:space="preserve">The Not fully paid in this shift box lists the room, bill code and amount left. A reason is still required even though the cash matches.</t>
  </si>
  <si>
    <t xml:space="preserve">CA-06</t>
  </si>
  <si>
    <t xml:space="preserve">A closed shift is locked</t>
  </si>
  <si>
    <t xml:space="preserve">After closing the shift, try to edit an old count or expense</t>
  </si>
  <si>
    <t xml:space="preserve">Cannot be edited. Recording more cash opens a new shift.</t>
  </si>
  <si>
    <t xml:space="preserve">CA-07</t>
  </si>
  <si>
    <t xml:space="preserve">Owner takes cash from the owner's room map</t>
  </si>
  <si>
    <t xml:space="preserve">The owner checks in and checks out, takes cash</t>
  </si>
  <si>
    <t xml:space="preserve">When the owner takes cash while a receptionist has a shift open in that building: the amount goes to the nearest open shift with access to that building, marked by owner. With no open shift: recorded as the owner's Cash, not tied to a shift, still counted in revenue. No Close shift or Pay out button.</t>
  </si>
  <si>
    <t xml:space="preserve">Per rule 17a: if a receptionist has a shift open in that building, cash the owner takes or refunds is counted in that shift, marked by owner; only with no open shift is it not tied to a shift. See CA-10.
Automated QA 03 Oct 2026. Per rule 17a; the Expected result column was updated.</t>
  </si>
  <si>
    <t xml:space="preserve">CA-08</t>
  </si>
  <si>
    <t xml:space="preserve">Shift reconciliation</t>
  </si>
  <si>
    <t xml:space="preserve">Owner: Shift reconciliation, filter by person, month, only with differences, open a shift</t>
  </si>
  <si>
    <t xml:space="preserve">Shows the count, expenses, reason and who handed over.</t>
  </si>
  <si>
    <t xml:space="preserve">Automated QA 03 Oct 2026. The reconciliation screen does not say who handed over. Proposal: the person who closed the shift (name, role) and the float left; the system has no incoming-shift person. Assigned to API-2 and WEB-2.
04 Oct 2026: the API returns closedByName, closedByRole, floatLeft (318d2a0, 3214b9d); the Shift reconciliation screen has Closed by (handover) and Left in the drawer (WEB-2). Automated QA passes. The screen has not been viewed against the real API: open Shift reconciliation once, then mark Passed.</t>
  </si>
  <si>
    <t xml:space="preserve">CA-09</t>
  </si>
  <si>
    <t xml:space="preserve">Delete a staff member who has an open shift</t>
  </si>
  <si>
    <t xml:space="preserve">The owner deletes a staff member whose shift is not closed</t>
  </si>
  <si>
    <t xml:space="preserve">Refused, asks to close the shift first.</t>
  </si>
  <si>
    <t xml:space="preserve">CA-10</t>
  </si>
  <si>
    <t xml:space="preserve">Owner, Receptionist</t>
  </si>
  <si>
    <t xml:space="preserve">Cash that should be in the drawer matches between Shift close and Overview</t>
  </si>
  <si>
    <t xml:space="preserve">The owner refunds cash while a receptionist has a shift open, compare Shift close and Overview</t>
  </si>
  <si>
    <t xml:space="preserve">The two figures are equal. The owner's entry is in the open shift and is marked by owner.</t>
  </si>
  <si>
    <t xml:space="preserve">03 Oct 10:16: Shift close 340,000đ, Overview 320,000đ. API-2 confirmed the cause (owner's cash refund not tied to a shift) and fixed it; rule 17a accepted.
Automated QA 03 Oct 2026.</t>
  </si>
  <si>
    <t xml:space="preserve">CA-11</t>
  </si>
  <si>
    <t xml:space="preserve">Shift close shows each item behind the cash figure</t>
  </si>
  <si>
    <t xml:space="preserve">Shift close, open each Cash taken and Pay out line</t>
  </si>
  <si>
    <t xml:space="preserve">A list of time, room, kind (deposit, payment, refund, payout), amount and the by-owner label. The list adds up to the cash that should be in the drawer.</t>
  </si>
  <si>
    <t xml:space="preserve">API-2 is adding the movements list; WEB-1 builds the screen after.
Done (API-2 movements, WEB-1 a391f43): each line opens up time, room, kind, signed amount, by-owner label. Retest after rebuild.
Automated QA 03 Oct 2026.</t>
  </si>
  <si>
    <t xml:space="preserve">LO-01</t>
  </si>
  <si>
    <t xml:space="preserve">Check in without ID</t>
  </si>
  <si>
    <t xml:space="preserve">Check in, leave the ID number empty</t>
  </si>
  <si>
    <t xml:space="preserve">It works. Check-in time follows the server clock. The room becomes Occupied.</t>
  </si>
  <si>
    <t xml:space="preserve">Several check-ins of A101 to A103 without an ID number.</t>
  </si>
  <si>
    <t xml:space="preserve">LO-02</t>
  </si>
  <si>
    <t xml:space="preserve">Add extras</t>
  </si>
  <si>
    <t xml:space="preserve">Stay details, Add extras</t>
  </si>
  <si>
    <t xml:space="preserve">The total updates at the right price. Stock goes down. The amount does not roll or animate.</t>
  </si>
  <si>
    <t xml:space="preserve">LO-03</t>
  </si>
  <si>
    <t xml:space="preserve">1) Edit the check-in time within the limit, with a reason
2) Try more than 60 minutes later than the recorded time
3) Try a future time</t>
  </si>
  <si>
    <t xml:space="preserve">The price is recalculated. The owner gets an alert with the old time, new time and reason. The two out-of-limit cases are refused.</t>
  </si>
  <si>
    <t xml:space="preserve">LO-04</t>
  </si>
  <si>
    <t xml:space="preserve">Check-out time cannot be edited</t>
  </si>
  <si>
    <t xml:space="preserve">Try to find a way to edit the check-out time</t>
  </si>
  <si>
    <t xml:space="preserve">There is no feature to edit the check-out time.</t>
  </si>
  <si>
    <t xml:space="preserve">LO-05</t>
  </si>
  <si>
    <t xml:space="preserve">Move room</t>
  </si>
  <si>
    <t xml:space="preserve">Details, Move room to a vacant room</t>
  </si>
  <si>
    <t xml:space="preserve">Keeps the check-in time and extras. Price follows the new room type. The old room becomes To clean. Moving to an occupied room is refused.</t>
  </si>
  <si>
    <t xml:space="preserve">LO-06</t>
  </si>
  <si>
    <t xml:space="preserve">Receipt prints at 80 mm</t>
  </si>
  <si>
    <t xml:space="preserve">After check-out, Print receipt, look at the print preview</t>
  </si>
  <si>
    <t xml:space="preserve">80 mm paper size. Buttons are not printed. Has the guesthouse name, bill code and the payments.</t>
  </si>
  <si>
    <t xml:space="preserve">print.spec.ts checks the 80 mm size with a PDF; no real printer needed.</t>
  </si>
  <si>
    <t xml:space="preserve">LO-07</t>
  </si>
  <si>
    <t xml:space="preserve">Stay history</t>
  </si>
  <si>
    <t xml:space="preserve">Pick a date with the previous/next buttons, calendar, Today, Yesterday</t>
  </si>
  <si>
    <t xml:space="preserve">The list is for the right date. The ID number and ID photo columns are correct, showing no number or photo. Dates past the limit (default 7 days) cannot be viewed.</t>
  </si>
  <si>
    <t xml:space="preserve">History 03 Oct: 7 stays; date bar and date picking work, the ID column said No incorrectly. The 7-day limit was not tested.</t>
  </si>
  <si>
    <t xml:space="preserve">LO-08</t>
  </si>
  <si>
    <t xml:space="preserve">Owner's history and timeline of a stay</t>
  </si>
  <si>
    <t xml:space="preserve">Owner: Stays, pick a date range, open a stay</t>
  </si>
  <si>
    <t xml:space="preserve">Timeline: check-in, time edit, extras, check-out, money received, cleaned.</t>
  </si>
  <si>
    <t xml:space="preserve">LO-09</t>
  </si>
  <si>
    <t xml:space="preserve">Search history</t>
  </si>
  <si>
    <t xml:space="preserve">Search by room, guest name, phone number</t>
  </si>
  <si>
    <t xml:space="preserve">Correct results.</t>
  </si>
  <si>
    <t xml:space="preserve">LO-10</t>
  </si>
  <si>
    <t xml:space="preserve">Guest phone number when checking in</t>
  </si>
  <si>
    <t xml:space="preserve">Enter numbers with 9, 11 and 14 digits, and a number with +84</t>
  </si>
  <si>
    <t xml:space="preserve">Only 9–11 digits are accepted, starting with 0 or +84, with a clear error message.</t>
  </si>
  <si>
    <t xml:space="preserve">Has a unit test (phone.test.ts), no e2e yet.
The server also rejects bad phone numbers (d480325). Automated QA 03 Oct 2026.</t>
  </si>
  <si>
    <t xml:space="preserve">DP-01</t>
  </si>
  <si>
    <t xml:space="preserve">Mark a room cleaned</t>
  </si>
  <si>
    <t xml:space="preserve">Tap a To clean room, Cleaned</t>
  </si>
  <si>
    <t xml:space="preserve">The room becomes Vacant. Who and when are recorded.</t>
  </si>
  <si>
    <t xml:space="preserve">DP-02</t>
  </si>
  <si>
    <t xml:space="preserve">Owner, Manager</t>
  </si>
  <si>
    <t xml:space="preserve">Owner or manager marks cleaning from the owner's map</t>
  </si>
  <si>
    <t xml:space="preserve">Tap a To clean room on the owner's room map</t>
  </si>
  <si>
    <t xml:space="preserve">Same as DP-01.</t>
  </si>
  <si>
    <t xml:space="preserve">DP-03</t>
  </si>
  <si>
    <t xml:space="preserve">Housekeeping</t>
  </si>
  <si>
    <t xml:space="preserve">Cleaning list by waiting time</t>
  </si>
  <si>
    <t xml:space="preserve">Sign in as housekeeping</t>
  </si>
  <si>
    <t xml:space="preserve">Longest wait first. Grey, orange and red labels by waiting time. Only the buildings they have access to.</t>
  </si>
  <si>
    <t xml:space="preserve">DP-04</t>
  </si>
  <si>
    <t xml:space="preserve">Housekeeping, Owner</t>
  </si>
  <si>
    <t xml:space="preserve">Report damage and lock a room</t>
  </si>
  <si>
    <t xml:space="preserve">Clean room, Report missing or damaged: choose the category, description, Lock the room</t>
  </si>
  <si>
    <t xml:space="preserve">No add-photo button. The room becomes Maintenance. A maintenance ticket is created. The owner gets an alert.</t>
  </si>
  <si>
    <t xml:space="preserve">DP-05</t>
  </si>
  <si>
    <t xml:space="preserve">Locking an occupied room is refused</t>
  </si>
  <si>
    <t xml:space="preserve">Report damage in an occupied room, choose lock the room</t>
  </si>
  <si>
    <t xml:space="preserve">Refused.</t>
  </si>
  <si>
    <t xml:space="preserve">DP-06</t>
  </si>
  <si>
    <t xml:space="preserve">Enter the repair cost and complete the ticket</t>
  </si>
  <si>
    <t xml:space="preserve">Maintenance, Handle: expected date, materials, labour, set Done</t>
  </si>
  <si>
    <t xml:space="preserve">The room reopens. A Maintenance repair expense appears in the month it was completed.</t>
  </si>
  <si>
    <t xml:space="preserve">DP-07</t>
  </si>
  <si>
    <t xml:space="preserve">Edit the cost after a ticket is Done</t>
  </si>
  <si>
    <t xml:space="preserve">The owner changes the cost of a done ticket. A manager tries to change it.</t>
  </si>
  <si>
    <t xml:space="preserve">The expense updates and is logged. A manager cannot edit costs.</t>
  </si>
  <si>
    <t xml:space="preserve">DP-08</t>
  </si>
  <si>
    <t xml:space="preserve">Report that a room looks used</t>
  </si>
  <si>
    <t xml:space="preserve">Housekeeping: Tell the owner</t>
  </si>
  <si>
    <t xml:space="preserve">The owner gets an alert.</t>
  </si>
  <si>
    <t xml:space="preserve">DP-09</t>
  </si>
  <si>
    <t xml:space="preserve">Receptionist, Owner, Manager</t>
  </si>
  <si>
    <t xml:space="preserve">Tapping a To clean room on the map offers every action</t>
  </si>
  <si>
    <t xml:space="preserve">Tap a To clean room on the room map (phone and desktop)</t>
  </si>
  <si>
    <t xml:space="preserve">Shows the task list, Cleaned, Set maintenance, Report damage. With no Edit permission it is view only.</t>
  </si>
  <si>
    <t xml:space="preserve">03 Oct 10:04: the panel on the map only had a Cleaned button; the /clean page had everything. WEB-1 was asked to share one component.
Fixed (WEB-1 25fc4cb): the panel on the map uses the same component as /clean, all 4 actions; someone with only View permission sees no actions. Retest after rebuild.
Automated QA 03 Oct 2026.</t>
  </si>
  <si>
    <t xml:space="preserve">GT-01</t>
  </si>
  <si>
    <t xml:space="preserve">Collect ID at check-in</t>
  </si>
  <si>
    <t xml:space="preserve">Enter the ID number, photograph the front</t>
  </si>
  <si>
    <t xml:space="preserve">No guest-consent box. There is a notice that it is collected for the stay declaration rule. It saves. Only indicators show: Has ID number, Has front photo, No back photo.</t>
  </si>
  <si>
    <t xml:space="preserve">GT-02</t>
  </si>
  <si>
    <t xml:space="preserve">The receptionist cannot read the number or photo back</t>
  </si>
  <si>
    <t xml:space="preserve">Open the room details, desktop map, History</t>
  </si>
  <si>
    <t xml:space="preserve">Only indicators are visible. No number, no photo, no view button.</t>
  </si>
  <si>
    <t xml:space="preserve">GT-03</t>
  </si>
  <si>
    <t xml:space="preserve">ID number is masked, with a Show button</t>
  </si>
  <si>
    <t xml:space="preserve">Owner: stay details, Guest ID block</t>
  </si>
  <si>
    <t xml:space="preserve">The number is masked. Show reveals the full number. The activity log has a GUEST_ID line.</t>
  </si>
  <si>
    <t xml:space="preserve">QA GI-02 + code reading, not hand-tested: the ID view is logged but filed under Rates and settings, so the Guest ID filter finds nothing. All 8 GUEST_ID_* codes and 2 INSTALLER_* codes were in the wrong group (uppercase prefix). Assigned to API-1.
Fixed (API-1 185a589): every GUEST_ID_* and INSTALLER_* code is in the right group; added a test over every action code.
Fixed (API-2 2b9b88f / API-1 185a589, b7aa449 / WEB-2 e174d33, 695a060). Automated QA passes on the new build. Retest after rebuild.
Automated QA 03 Oct 2026.</t>
  </si>
  <si>
    <t xml:space="preserve">GT-04</t>
  </si>
  <si>
    <t xml:space="preserve">View, download and delete the ID photo</t>
  </si>
  <si>
    <t xml:space="preserve">Open the front photo, download, delete</t>
  </si>
  <si>
    <t xml:space="preserve">The photo shows. It can be downloaded. After deleting, the photo is gone. Every action has an activity log line.</t>
  </si>
  <si>
    <t xml:space="preserve">GT-05</t>
  </si>
  <si>
    <t xml:space="preserve">Manager</t>
  </si>
  <si>
    <t xml:space="preserve">A manager can only view with building View permission</t>
  </si>
  <si>
    <t xml:space="preserve">A manager with and without View permission on the stay's building</t>
  </si>
  <si>
    <t xml:space="preserve">With permission they can view; without it they cannot.</t>
  </si>
  <si>
    <t xml:space="preserve">GT-06</t>
  </si>
  <si>
    <t xml:space="preserve">Indicator flags in the list are correct</t>
  </si>
  <si>
    <t xml:space="preserve">Receptionist's and owner's stay history for a stay with a number and a photo</t>
  </si>
  <si>
    <t xml:space="preserve">Shows Yes and Front. Not shown No incorrectly.</t>
  </si>
  <si>
    <t xml:space="preserve">GT-07</t>
  </si>
  <si>
    <t xml:space="preserve">Photo too large or not a photo</t>
  </si>
  <si>
    <t xml:space="preserve">Upload a file bigger than 5 MB, then a .txt file</t>
  </si>
  <si>
    <t xml:space="preserve">Refused with a clear message.</t>
  </si>
  <si>
    <t xml:space="preserve">GT-08</t>
  </si>
  <si>
    <t xml:space="preserve">Number and photo do not leak into logs</t>
  </si>
  <si>
    <t xml:space="preserve">docker compose ... logs api | grep -c "079" (use the first 3 digits of the test ID)</t>
  </si>
  <si>
    <t xml:space="preserve">No number or photo data in the logs.</t>
  </si>
  <si>
    <t xml:space="preserve">Use test ID numbers only, never real ones.
Automated QA 03 Oct 2026.</t>
  </si>
  <si>
    <t xml:space="preserve">GT-09</t>
  </si>
  <si>
    <t xml:space="preserve">Auto-delete after N days</t>
  </si>
  <si>
    <t xml:space="preserve">The owner sets a small auto-delete number of days on the test stack, run stayguard jobs run</t>
  </si>
  <si>
    <t xml:space="preserve">Past the limit the number and photos are deleted; only the No indicator remains.</t>
  </si>
  <si>
    <t xml:space="preserve">DN-01</t>
  </si>
  <si>
    <t xml:space="preserve">5 wrong PINs lock the account</t>
  </si>
  <si>
    <t xml:space="preserve">Enter a wrong PIN 5 times</t>
  </si>
  <si>
    <t xml:space="preserve">Locked for 15 minutes. The owner gets an alert. The correct PIN is still refused while locked.</t>
  </si>
  <si>
    <t xml:space="preserve">DN-02</t>
  </si>
  <si>
    <t xml:space="preserve">Wrong guesthouse code, username or PIN gives the same message</t>
  </si>
  <si>
    <t xml:space="preserve">Try three different kinds of wrong input</t>
  </si>
  <si>
    <t xml:space="preserve">The same message each time; it never reveals which username exists.</t>
  </si>
  <si>
    <t xml:space="preserve">DN-03</t>
  </si>
  <si>
    <t xml:space="preserve">Easy-to-guess PINs are refused</t>
  </si>
  <si>
    <t xml:space="preserve">Set the PIN 123456, then 111111</t>
  </si>
  <si>
    <t xml:space="preserve">DN-04</t>
  </si>
  <si>
    <t xml:space="preserve">Re-enter the owner PIN for sensitive actions</t>
  </si>
  <si>
    <t xml:space="preserve">Delete a staff member or add a bank account, enter a wrong PIN several times</t>
  </si>
  <si>
    <t xml:space="preserve">Refused. Several wrong attempts lock the account like sign-in does.</t>
  </si>
  <si>
    <t xml:space="preserve">DN-05</t>
  </si>
  <si>
    <t xml:space="preserve">A manager cannot act on the owner or other managers</t>
  </si>
  <si>
    <t xml:space="preserve">A manager tries to reset a PIN, lock or delete the owner</t>
  </si>
  <si>
    <t xml:space="preserve">The button is hidden or the action is refused.</t>
  </si>
  <si>
    <t xml:space="preserve">DN-06</t>
  </si>
  <si>
    <t xml:space="preserve">A manager lands straight on the room map</t>
  </si>
  <si>
    <t xml:space="preserve">Sign in as a manager</t>
  </si>
  <si>
    <t xml:space="preserve">Goes to the Room map. No Overview tab. Staff, payroll, expenses, reports and activity log say no permission.</t>
  </si>
  <si>
    <t xml:space="preserve">DN-07</t>
  </si>
  <si>
    <t xml:space="preserve">A receptionist cannot open owner pages</t>
  </si>
  <si>
    <t xml:space="preserve">linh opens /vi/owner</t>
  </si>
  <si>
    <t xml:space="preserve">The no-permission screen.</t>
  </si>
  <si>
    <t xml:space="preserve">Opening /vi/owner/transactions in a new tab redirected to sign-in, with no no-permission screen. Suspected sessionStorage being per tab; cookie sessions were assigned (DN-13). Retry in the same tab.
Fixed (WEB-1 cbf7c96 cookie sessions, f6add89 owner pages guarded by role). Retest in a new tab after rebuild; remember to sign in again.
Automated QA 03 Oct 2026.</t>
  </si>
  <si>
    <t xml:space="preserve">DN-08</t>
  </si>
  <si>
    <t xml:space="preserve">Housekeeping only sees housekeeping screens</t>
  </si>
  <si>
    <t xml:space="preserve">Only Cleaning, Schedule, Account. No money visible.</t>
  </si>
  <si>
    <t xml:space="preserve">DN-09</t>
  </si>
  <si>
    <t xml:space="preserve">Changing a PIN, locking or deleting a user revokes sessions</t>
  </si>
  <si>
    <t xml:space="preserve">A staff member signs in on a second device. The owner locks, deletes or resets the PIN</t>
  </si>
  <si>
    <t xml:space="preserve">The session on the other device is signed out at its next action.</t>
  </si>
  <si>
    <t xml:space="preserve">DN-10</t>
  </si>
  <si>
    <t xml:space="preserve">Deleting a staff member keeps history</t>
  </si>
  <si>
    <t xml:space="preserve">The owner deletes a staff member</t>
  </si>
  <si>
    <t xml:space="preserve">They cannot sign in. Old stays, shifts, activity log and payroll still show their name.</t>
  </si>
  <si>
    <t xml:space="preserve">DN-11</t>
  </si>
  <si>
    <t xml:space="preserve">Sign out</t>
  </si>
  <si>
    <t xml:space="preserve">Account, Sign out, press the Back button</t>
  </si>
  <si>
    <t xml:space="preserve">Back to the sign-in page; Back does not get back in.</t>
  </si>
  <si>
    <t xml:space="preserve">DN-12</t>
  </si>
  <si>
    <t xml:space="preserve">Permissions by building</t>
  </si>
  <si>
    <t xml:space="preserve">The owner sets View, Edit or None for a staff member</t>
  </si>
  <si>
    <t xml:space="preserve">Takes effect on the next action. A None building is hidden. View has no action buttons.</t>
  </si>
  <si>
    <t xml:space="preserve">DN-13</t>
  </si>
  <si>
    <t xml:space="preserve">Opening a link in a new tab needs no new sign-in</t>
  </si>
  <si>
    <t xml:space="preserve">Open /vi/clean?room=… in a new tab of the same browser</t>
  </si>
  <si>
    <t xml:space="preserve">No new sign-in needed. If the session has expired, after signing in it returns to the same link.</t>
  </si>
  <si>
    <t xml:space="preserve">The API has cookie sessions (d818ebd). WEB-1 had not done the web part.
Fixed (WEB-1 cbf7c96): sg_session cookie, a second tab opening /vi/clean?room=… is still signed in; e2e passes. Retest after rebuild, sign in again.
Automated QA 03 Oct 2026.</t>
  </si>
  <si>
    <t xml:space="preserve">DN-14</t>
  </si>
  <si>
    <t xml:space="preserve">A receptionist opens an owner-only page in the same tab</t>
  </si>
  <si>
    <t xml:space="preserve">Sign in as linh, type /vi/owner/transactions into the address bar of that same tab</t>
  </si>
  <si>
    <t xml:space="preserve">The no-permission screen with a button back to the room map. Still signed in, not sent to the sign-in page.</t>
  </si>
  <si>
    <t xml:space="preserve">Waiting for cookie sessions (DN-13) to test within one session.
Fixed (WEB-1 f6add89): no-permission screen with a back-to-room-map button, session kept; only a 401 goes to sign-in with a return path. e2e passes. Retest after rebuild.
Automated QA 03 Oct 2026.</t>
  </si>
  <si>
    <t xml:space="preserve">TD-01</t>
  </si>
  <si>
    <t xml:space="preserve">Overview figures are consistent</t>
  </si>
  <si>
    <t xml:space="preserve">Compare Overview, Transactions, Reports</t>
  </si>
  <si>
    <t xml:space="preserve">Revenue equals the total of paid bills everywhere. Room counts by building match the map.</t>
  </si>
  <si>
    <t xml:space="preserve">Revenue 580,000đ matches 7 stays. Cash that should be in the drawer was off (Shift close 340,000đ, Overview 320,000đ); API-2 fixed it with one shared cash ledger (rule 17a). Retest after rebuild.
Automated QA 03 Oct 2026.</t>
  </si>
  <si>
    <t xml:space="preserve">TD-02</t>
  </si>
  <si>
    <t xml:space="preserve">Needs action now section</t>
  </si>
  <si>
    <t xml:space="preserve">Create an overdue room, a room waiting long to be cleaned, a cash shortage at shift close</t>
  </si>
  <si>
    <t xml:space="preserve">Each item shows correctly. Tapping opens the right screen.</t>
  </si>
  <si>
    <t xml:space="preserve">TD-03</t>
  </si>
  <si>
    <t xml:space="preserve">Alerts</t>
  </si>
  <si>
    <t xml:space="preserve">Filter unread, mark as read</t>
  </si>
  <si>
    <t xml:space="preserve">The bell count goes down. Alerts about money and time do not disappear by themselves.</t>
  </si>
  <si>
    <t xml:space="preserve">TD-04</t>
  </si>
  <si>
    <t xml:space="preserve">Activity log</t>
  </si>
  <si>
    <t xml:space="preserve">Pick a date range, filter by person and type, search text</t>
  </si>
  <si>
    <t xml:space="preserve">Every important action is there (time edit, link money, view ID, permission change). Cannot be edited or deleted.</t>
  </si>
  <si>
    <t xml:space="preserve">Activity log screenshot 03 Oct: the lines 'Payment done {room}', 'Create payment {room}', 'Check out {room}', 'Check in {room}' showed the literal {room}; the Person column was empty on the 10:12 line (a system action). Cause: the API did not write the room into the log; also 27 action codes had no text (code reading). Assigned to API-1 (room, bill) and WEB-2 (text).
Fixed (API-1 b7aa449 fills room and bill; WEB-2 e174d33, 695a060 describe all 57 actions, an empty person shows System). QA UI-01 passes on /owner/activity.
Fixed (API-2 2b9b88f / API-1 185a589, b7aa449 / WEB-2 e174d33, 695a060). Automated QA passes on the new build. Retest after rebuild.
Automated QA 03 Oct 2026.</t>
  </si>
  <si>
    <t xml:space="preserve">TD-05</t>
  </si>
  <si>
    <t xml:space="preserve">The owner's room map has no shift actions</t>
  </si>
  <si>
    <t xml:space="preserve">Open the Room map as the owner</t>
  </si>
  <si>
    <t xml:space="preserve">No Close shift or Pay out. There is a building selector bar.</t>
  </si>
  <si>
    <t xml:space="preserve">Automated QA 03 Oct 2026. Test passes; you need to look at it by eye before marking Passed.</t>
  </si>
  <si>
    <t xml:space="preserve">TD-06</t>
  </si>
  <si>
    <t xml:space="preserve">Alerts close themselves when the work is done</t>
  </si>
  <si>
    <t xml:space="preserve">Link an unmatched transfer, pay an unpaid bill, refund a deposit, then look at Overview and Alerts</t>
  </si>
  <si>
    <t xml:space="preserve">Needs action now only counts open items. Old alerts are labelled Resolved at.</t>
  </si>
  <si>
    <t xml:space="preserve">03 Oct: Needs action now showed 8 items, including the linked 100,000đ transfer and bills already paid. API-2 added resolvedAt; waiting for WEB-2.
Fixed (WEB-2 5aaa0f2): Needs action only counts open items, finished items are shown faded with Resolved at. Passes on the real API on the lane's stack. Retest after rebuild.
Automated QA 03 Oct 2026.</t>
  </si>
  <si>
    <t xml:space="preserve">TD-07</t>
  </si>
  <si>
    <t xml:space="preserve">The View button on an alert opens the owner's timeline</t>
  </si>
  <si>
    <t xml:space="preserve">Owner: Alerts, View an alert for a stay</t>
  </si>
  <si>
    <t xml:space="preserve">Opens the owner's stay timeline, not the receptionist's page.</t>
  </si>
  <si>
    <t xml:space="preserve">WEB-2 pushed (a36d2bf): View on an alert with a stay opens /owner/stay. Needs a retest after rebuild.
Automated QA 03 Oct 2026.</t>
  </si>
  <si>
    <t xml:space="preserve">TD-08</t>
  </si>
  <si>
    <t xml:space="preserve">SePay updated alert is readable</t>
  </si>
  <si>
    <t xml:space="preserve">Look at the SePay updated alert</t>
  </si>
  <si>
    <t xml:space="preserve">A readable sentence with the time, not the string 2026-10-02T18:01:20Z.</t>
  </si>
  <si>
    <t xml:space="preserve">WEB-2 pushed: SEPAY_UPDATED shows a readable sentence instead of the ISO string. Needs a retest after rebuild.
Automated QA 03 Oct 2026. Test passes; you need to look at it by eye before marking Passed.</t>
  </si>
  <si>
    <t xml:space="preserve">CD-01</t>
  </si>
  <si>
    <t xml:space="preserve">Receiving accounts: add, set default, delete</t>
  </si>
  <si>
    <t xml:space="preserve">Add an account (enter the owner PIN), try to set it as default, try to delete the default account</t>
  </si>
  <si>
    <t xml:space="preserve">A new account is Awaiting SePay connection. It can only be set as default once connected. The default cannot be deleted. The QR always uses the default account.</t>
  </si>
  <si>
    <t xml:space="preserve">CD-02</t>
  </si>
  <si>
    <t xml:space="preserve">Price list: preview and save</t>
  </si>
  <si>
    <t xml:space="preserve">Change a price, preview, save</t>
  </si>
  <si>
    <t xml:space="preserve">The preview follows the draft price. After saving it only applies to later check-ins; current stays keep the old price.</t>
  </si>
  <si>
    <t xml:space="preserve">CD-03</t>
  </si>
  <si>
    <t xml:space="preserve">Buildings, floors, rooms</t>
  </si>
  <si>
    <t xml:space="preserve">Add rooms by range, add a floor, add a building. Change the type of an occupied room.</t>
  </si>
  <si>
    <t xml:space="preserve">Room codes are created correctly. An occupied room cannot change type or be deleted.</t>
  </si>
  <si>
    <t xml:space="preserve">CD-04</t>
  </si>
  <si>
    <t xml:space="preserve">Items and stock</t>
  </si>
  <si>
    <t xml:space="preserve">Add an item (price, cost, opening stock), add stock, a stocktake with a difference, delete a sold item</t>
  </si>
  <si>
    <t xml:space="preserve">Stock changes through its history. A stocktake difference raises an alert. A sold item is moved to Discontinued, not fully deleted.</t>
  </si>
  <si>
    <t xml:space="preserve">CD-05</t>
  </si>
  <si>
    <t xml:space="preserve">Staff: position, app access, contract</t>
  </si>
  <si>
    <t xml:space="preserve">Add a security guard (no sign-in) and a receptionist</t>
  </si>
  <si>
    <t xml:space="preserve">The guard has no PIN. The receptionist gets a one-time PIN, shown only once.</t>
  </si>
  <si>
    <t xml:space="preserve">CD-06</t>
  </si>
  <si>
    <t xml:space="preserve">Payroll: paid sick leave</t>
  </si>
  <si>
    <t xml:space="preserve">The roster has a sick day and an unpaid day, open Payroll, press Mark all as paid</t>
  </si>
  <si>
    <t xml:space="preserve">Sick leave counts as worked and does not use annual leave. Unpaid leave does not count. A Staff salary expense appears under Expenses.</t>
  </si>
  <si>
    <t xml:space="preserve">CD-07</t>
  </si>
  <si>
    <t xml:space="preserve">Roster and leave requests</t>
  </si>
  <si>
    <t xml:space="preserve">A staff member requests leave. The owner approves and rejects. The staff member cancels a pending request. Request cancelling approved leave.</t>
  </si>
  <si>
    <t xml:space="preserve">Statuses are right. Approved leave needs the owner's agreement to cancel. A shift left short-staffed raises an alert.</t>
  </si>
  <si>
    <t xml:space="preserve">CD-08</t>
  </si>
  <si>
    <t xml:space="preserve">Expenses</t>
  </si>
  <si>
    <t xml:space="preserve">Add a manual expense. Add a monthly recurring expense.</t>
  </si>
  <si>
    <t xml:space="preserve">A recurring expense is created only once per month. Automatic lines (payroll, maintenance, stock) cannot be edited by hand.</t>
  </si>
  <si>
    <t xml:space="preserve">CD-09</t>
  </si>
  <si>
    <t xml:space="preserve">Income and expense report by month range</t>
  </si>
  <si>
    <t xml:space="preserve">Choose from month, to month</t>
  </si>
  <si>
    <t xml:space="preserve">Revenue equals the total of paid bills. Expenses equal the total of expense lines. Payouts from the receptionist's drawer are not counted twice. The breakdown by payment method adds up to total revenue.</t>
  </si>
  <si>
    <t xml:space="preserve">CD-10</t>
  </si>
  <si>
    <t xml:space="preserve">Settings: ID auto-delete and days the front desk can see history</t>
  </si>
  <si>
    <t xml:space="preserve">Enter 0, then 45, then 10</t>
  </si>
  <si>
    <t xml:space="preserve">0 is refused. 45 and 10 save and stay after a reload.</t>
  </si>
  <si>
    <t xml:space="preserve">BM-01</t>
  </si>
  <si>
    <t xml:space="preserve">A webhook without a signature is rejected</t>
  </si>
  <si>
    <t xml:space="preserve">curl -i -X POST https://&lt;tunnel&gt;/v1/webhooks/bank/&lt;hookId&gt; -H "Content-Type: application/json" -d "{}"</t>
  </si>
  <si>
    <t xml:space="preserve">401, with no details. No transaction is recorded.</t>
  </si>
  <si>
    <t xml:space="preserve">BM-02</t>
  </si>
  <si>
    <t xml:space="preserve">Wrong hook ID</t>
  </si>
  <si>
    <t xml:space="preserve">Run the command above with a wrong hookId</t>
  </si>
  <si>
    <t xml:space="preserve">404.</t>
  </si>
  <si>
    <t xml:space="preserve">BM-03</t>
  </si>
  <si>
    <t xml:space="preserve">The SePay key does not appear in logs</t>
  </si>
  <si>
    <t xml:space="preserve">docker compose ... logs api jobs | grep -c whsec_</t>
  </si>
  <si>
    <t xml:space="preserve">Result 0.</t>
  </si>
  <si>
    <t xml:space="preserve">BM-04</t>
  </si>
  <si>
    <t xml:space="preserve">Khai, SePay</t>
  </si>
  <si>
    <t xml:space="preserve">Late webhook redelivery</t>
  </si>
  <si>
    <t xml:space="preserve">1) docker stop the api container
2) Wait about 6 minutes
3) Simulate a transaction
4) docker start
5) Look at the delivery history in SePay</t>
  </si>
  <si>
    <t xml:space="preserve">The redelivery is accepted (200). If it is rejected because of time, widen SEPAY_TIMESTAMP_TOLERANCE per the runbook and record the value.</t>
  </si>
  <si>
    <t xml:space="preserve">SePay retries up to 7 times over about 33 minutes.
Automated QA: a webhook re-signed with a time 6 minutes old, sent after the API restarted, is rejected 401 (over 300 seconds). SePay's real redelivery still needs a hand test.
Skipped: the project is a portfolio demo with no real customer. Needs real SePay. The late-webhook case already has an automated test (QA).
The automated tests are enough for the demo; trying SePay's real redelivery is optional.</t>
  </si>
  <si>
    <t xml:space="preserve">BM-05</t>
  </si>
  <si>
    <t xml:space="preserve">Automated webhook test suite</t>
  </si>
  <si>
    <t xml:space="preserve">make test-api-int</t>
  </si>
  <si>
    <t xml:space="preserve">Green. Covers signature, time, de-duplication, outgoing money.</t>
  </si>
  <si>
    <t xml:space="preserve">The automated webhook test suite is make test-api-int: green in demo-check and on CI #243 (04 Oct 2026).</t>
  </si>
  <si>
    <t xml:space="preserve">VH-01</t>
  </si>
  <si>
    <t xml:space="preserve">Backup to real S3</t>
  </si>
  <si>
    <t xml:space="preserve">EXTERNAL_S3=1 with an R2, B2 or S3 bucket, run deploy/backup.sh</t>
  </si>
  <si>
    <t xml:space="preserve">The .dump file is in the bucket. A test restore into a scratch database matches row counts.</t>
  </si>
  <si>
    <t xml:space="preserve">Skipped: the project is a portfolio demo with no real customer. Needs real S3. Do this when there is real data.
Portfolio demo scope, no real customer. No real data to back up to S3.</t>
  </si>
  <si>
    <t xml:space="preserve">VH-02</t>
  </si>
  <si>
    <t xml:space="preserve">Jobs run every 5 minutes</t>
  </si>
  <si>
    <t xml:space="preserve">docker compose ... logs jobs</t>
  </si>
  <si>
    <t xml:space="preserve">Each round prints one count line per job. A failed round does not stop the next round.</t>
  </si>
  <si>
    <t xml:space="preserve">VH-03</t>
  </si>
  <si>
    <t xml:space="preserve">Changing the encryption key makes the server refuse to start</t>
  </si>
  <si>
    <t xml:space="preserve">ONLY on the rehearsal stack: change DATA_ENCRYPTION_KEY, restart api</t>
  </si>
  <si>
    <t xml:space="preserve">Reports key fingerprint mismatch without revealing the key. Restoring the old key runs again.</t>
  </si>
  <si>
    <t xml:space="preserve">Do not do this on an environment with real data.
Automated QA 03 Oct 2026.</t>
  </si>
  <si>
    <t xml:space="preserve">VH-04</t>
  </si>
  <si>
    <t xml:space="preserve">The production build has no demo picker</t>
  </si>
  <si>
    <t xml:space="preserve">Open the sign-in page of the production stack</t>
  </si>
  <si>
    <t xml:space="preserve">Only the sign-in form, no Try as a role.</t>
  </si>
  <si>
    <t xml:space="preserve">Skipped: the project is a portfolio demo with no real customer. Opposite of the goal: the portfolio build turns demo mode on (role picker, Simulate incoming money). See GL-13.
Portfolio demo scope, no real customer. Opposite of the goal: the demo build keeps the role picker.</t>
  </si>
  <si>
    <t xml:space="preserve">VH-05</t>
  </si>
  <si>
    <t xml:space="preserve">Service health</t>
  </si>
  <si>
    <t xml:space="preserve">GET /readyz; check the database account is not a superuser</t>
  </si>
  <si>
    <t xml:space="preserve">/readyz returns 200. The application account is not a superuser.</t>
  </si>
  <si>
    <t xml:space="preserve">VH-06</t>
  </si>
  <si>
    <t xml:space="preserve">Still able to sign in after a restart</t>
  </si>
  <si>
    <t xml:space="preserve">docker compose restart api, then sign in with the PIN that was set</t>
  </si>
  <si>
    <t xml:space="preserve">Sign-in works, no invalid-PIN message.</t>
  </si>
  <si>
    <t xml:space="preserve">VH-07</t>
  </si>
  <si>
    <t xml:space="preserve">Clean up the rehearsal stack</t>
  </si>
  <si>
    <t xml:space="preserve">make rehearse-down</t>
  </si>
  <si>
    <t xml:space="preserve">The stayguard-rehearse containers and volumes are removed.</t>
  </si>
  <si>
    <t xml:space="preserve">Skipped: the project is a portfolio demo with no real customer. There is no dedicated rehearsal stack any more; QA creates a new guesthouse on every run.
Portfolio demo scope, no real customer. No need to clean up before a real build exists.</t>
  </si>
  <si>
    <t xml:space="preserve">GD-01</t>
  </si>
  <si>
    <t xml:space="preserve">Real phone: check-in to QR</t>
  </si>
  <si>
    <t xml:space="preserve">Use a phone through the tunnel, go through the whole check-in, check-out, QR flow</t>
  </si>
  <si>
    <t xml:space="preserve">Easy to tap, text does not overflow buttons, bottom tab bar is correct. The QR is large enough to scan.</t>
  </si>
  <si>
    <t xml:space="preserve">GD-02</t>
  </si>
  <si>
    <t xml:space="preserve">Real phone: Overview and the More tab</t>
  </si>
  <si>
    <t xml:space="preserve">Open Overview, the More tab</t>
  </si>
  <si>
    <t xml:space="preserve">5 tabs. The More menu has all 5 groups. The alert bell shows a count.</t>
  </si>
  <si>
    <t xml:space="preserve">GD-03</t>
  </si>
  <si>
    <t xml:space="preserve">Tablet 834 px</t>
  </si>
  <si>
    <t xml:space="preserve">Shrink the window to 834 x 1194</t>
  </si>
  <si>
    <t xml:space="preserve">Icon rail on the left. The page does not scroll sideways.</t>
  </si>
  <si>
    <t xml:space="preserve">GD-04</t>
  </si>
  <si>
    <t xml:space="preserve">Desktop 1280 px</t>
  </si>
  <si>
    <t xml:space="preserve">Open the table pages, especially Payroll</t>
  </si>
  <si>
    <t xml:space="preserve">The sidebar has groups. A wide table scrolls sideways inside its card, the name column stays fixed.</t>
  </si>
  <si>
    <t xml:space="preserve">GD-05</t>
  </si>
  <si>
    <t xml:space="preserve">Reduced motion</t>
  </si>
  <si>
    <t xml:space="preserve">Turn on the operating system's reduce motion setting, open the QR and Paid screens</t>
  </si>
  <si>
    <t xml:space="preserve">All content shows fully; only a fade remains.</t>
  </si>
  <si>
    <t xml:space="preserve">GD-06</t>
  </si>
  <si>
    <t xml:space="preserve">English</t>
  </si>
  <si>
    <t xml:space="preserve">Change the language in Account</t>
  </si>
  <si>
    <t xml:space="preserve">All text switches correctly. No translation keys show (for example rooms.roleMANAGER).</t>
  </si>
  <si>
    <t xml:space="preserve">GD-07</t>
  </si>
  <si>
    <t xml:space="preserve">Connection lost on the payment screen</t>
  </si>
  <si>
    <t xml:space="preserve">Turn off the network while on the payment screen, then turn it back on</t>
  </si>
  <si>
    <t xml:space="preserve">Shows a no-connection state. When the network returns, retrying creates no duplicate transaction.</t>
  </si>
  <si>
    <t xml:space="preserve">GL-01</t>
  </si>
  <si>
    <t xml:space="preserve">CI is green on main</t>
  </si>
  <si>
    <t xml:space="preserve">GitHub, Actions, the latest run</t>
  </si>
  <si>
    <t xml:space="preserve">All 8 checks are green: checks, lint, contracts, licenses, secrets, test-api, test-api-int, test-web.</t>
  </si>
  <si>
    <t xml:space="preserve">CI green on 9/9 jobs (run #243, commit 92472f7, 04 Oct 2026): lint, checks, test-api, test-api-int, test-web, contracts, image, secrets, licenses. Repo is public.</t>
  </si>
  <si>
    <t xml:space="preserve">GL-02</t>
  </si>
  <si>
    <t xml:space="preserve">Server, domain name and HTTPS</t>
  </si>
  <si>
    <t xml:space="preserve">Follow deploy/README.md</t>
  </si>
  <si>
    <t xml:space="preserve">/readyz returns 200. The HTTPS certificate is valid.</t>
  </si>
  <si>
    <t xml:space="preserve">Oracle Free has no ARM capacity; the fallback is a paid VPS in Singapore.
Optional: only needed if you want a public demo link for the portfolio.</t>
  </si>
  <si>
    <t xml:space="preserve">GL-03</t>
  </si>
  <si>
    <t xml:space="preserve">Production encryption key stored separately</t>
  </si>
  <si>
    <t xml:space="preserve">Create a separate key for production, store it in a password manager</t>
  </si>
  <si>
    <t xml:space="preserve">The key is not in git and not stored with the backups.</t>
  </si>
  <si>
    <t xml:space="preserve">Skipped: the project is a portfolio demo with no real customer. There is no real production environment.
Portfolio demo scope, no real customer. No real production.</t>
  </si>
  <si>
    <t xml:space="preserve">GL-04</t>
  </si>
  <si>
    <t xml:space="preserve">Does the guesthouse's bank account type require a VA</t>
  </si>
  <si>
    <t xml:space="preserve">Ask the owner or look at their SePay page</t>
  </si>
  <si>
    <t xml:space="preserve">If a VA is required: the VA storing feature exists, the QR points to the VA, the webhook matches the VA, and it was tested with VA data. If not: note VA not required.</t>
  </si>
  <si>
    <t xml:space="preserve">Test mode: Vietcombank business accounts require a VA, and the QR currently points to the main account number. Need to ask what account type the real guesthouse uses and confirm API-1 has built VA support.
Skipped: the project is a portfolio demo with no real customer. There is no real guesthouse to ask. See TT-28.
Portfolio demo scope, no real customer. No real guesthouse.</t>
  </si>
  <si>
    <t xml:space="preserve">GL-05</t>
  </si>
  <si>
    <t xml:space="preserve">Import the real guesthouse</t>
  </si>
  <si>
    <t xml:space="preserve">stayguard tenant import --file &lt;file outside git&gt;, then delete the file</t>
  </si>
  <si>
    <t xml:space="preserve">Complete guesthouse, rooms, prices, services, accounts, staff. One-time PINs are printed.</t>
  </si>
  <si>
    <t xml:space="preserve">Skipped: the project is a portfolio demo with no real customer. There is no real guesthouse.
Portfolio demo scope, no real customer. No real guesthouse.</t>
  </si>
  <si>
    <t xml:space="preserve">GL-06</t>
  </si>
  <si>
    <t xml:space="preserve">Real SePay in the owner's name</t>
  </si>
  <si>
    <t xml:space="preserve">Follow docs/runbooks/sepay-handover.md</t>
  </si>
  <si>
    <t xml:space="preserve">sepay status: CONNECTED, valid signature.</t>
  </si>
  <si>
    <t xml:space="preserve">Skipped: the project is a portfolio demo with no real customer. There is no real guesthouse owner.
Portfolio demo scope, no real customer. Real SePay is not used; test mode only.</t>
  </si>
  <si>
    <t xml:space="preserve">GL-07</t>
  </si>
  <si>
    <t xml:space="preserve">Real 2,000đ transaction</t>
  </si>
  <si>
    <t xml:space="preserve">Create a 2,000đ bill, transfer for real with a banking app</t>
  </si>
  <si>
    <t xml:space="preserve">The bill becomes Paid automatically. The money arrives in the owner's account.</t>
  </si>
  <si>
    <t xml:space="preserve">Skipped: the project is a portfolio demo with no real customer. No real money is moved.
Portfolio demo scope, no real customer. No real money is moved.</t>
  </si>
  <si>
    <t xml:space="preserve">GL-08</t>
  </si>
  <si>
    <t xml:space="preserve">Scan the QR with two different banking apps</t>
  </si>
  <si>
    <t xml:space="preserve">Scan a real bill's QR</t>
  </si>
  <si>
    <t xml:space="preserve">Correct account (or VA), amount and content.</t>
  </si>
  <si>
    <t xml:space="preserve">GL-09</t>
  </si>
  <si>
    <t xml:space="preserve">Staff receive their PIN and change it</t>
  </si>
  <si>
    <t xml:space="preserve">Each person signs in and sets a new PIN</t>
  </si>
  <si>
    <t xml:space="preserve">Everyone can sign in.</t>
  </si>
  <si>
    <t xml:space="preserve">Skipped: the project is a portfolio demo with no real customer. There are no real staff.
Portfolio demo scope, no real customer. The first-sign-in PIN flow is covered by CB-09.</t>
  </si>
  <si>
    <t xml:space="preserve">GL-10</t>
  </si>
  <si>
    <t xml:space="preserve">Khai, Receptionist</t>
  </si>
  <si>
    <t xml:space="preserve">About 15 minutes of training for the receptionist</t>
  </si>
  <si>
    <t xml:space="preserve">On their own phone</t>
  </si>
  <si>
    <t xml:space="preserve">They do a check-in, check-out, take payment and close a shift by themselves.</t>
  </si>
  <si>
    <t xml:space="preserve">Skipped: the project is a portfolio demo with no real customer. There is no real receptionist.
Portfolio demo scope, no real customer. No real receptionist.</t>
  </si>
  <si>
    <t xml:space="preserve">GL-11</t>
  </si>
  <si>
    <t xml:space="preserve">Settle the ID retention period and the notice wording</t>
  </si>
  <si>
    <t xml:space="preserve">Ask the ward police or a qualified person</t>
  </si>
  <si>
    <t xml:space="preserve">The auto-delete number of days and the guest notice wording are settled.</t>
  </si>
  <si>
    <t xml:space="preserve">Skipped: the project is a portfolio demo with no real customer. A qualified person only needs asking when there are real guests; the demo keeps the notice line.
Portfolio demo scope, no real customer. Only fake data is used; this is stated in the README.</t>
  </si>
  <si>
    <t xml:space="preserve">GL-12</t>
  </si>
  <si>
    <t xml:space="preserve">Daily backup and one test restore</t>
  </si>
  <si>
    <t xml:space="preserve">Check the backup.sh schedule on the server; run restore-rehearsal.sh once</t>
  </si>
  <si>
    <t xml:space="preserve">A new file every day. The test restore matches row counts.</t>
  </si>
  <si>
    <t xml:space="preserve">Skipped: the project is a portfolio demo with no real customer. Demo data can be recreated.
Portfolio demo scope, no real customer. No real data.</t>
  </si>
  <si>
    <t xml:space="preserve">GL-13</t>
  </si>
  <si>
    <t xml:space="preserve">Receptionist, Owner, Housekeeping</t>
  </si>
  <si>
    <t xml:space="preserve">The 3-minute demo script runs end to end, no SePay needed</t>
  </si>
  <si>
    <t xml:space="preserve">1) Open /vi, choose Receptionist: check in A102, check out A101 (already has 2 bottles of water)
2) Pay by QR, press Simulate incoming money
3) Choose Housekeeping, press Cleaned
4) Choose Guesthouse owner: look at Overview and Transactions</t>
  </si>
  <si>
    <t xml:space="preserve">Matches each step of README section 5: the QR screen switches to Paid by itself, the room becomes To clean, revenue and Transactions update. Works at 390 and 1280 px, in Vietnamese and English, with no console errors.</t>
  </si>
  <si>
    <t xml:space="preserve">No automated test yet covers the /v1/demo/sessions path and the Simulate incoming money button; QA to add.</t>
  </si>
  <si>
    <t xml:space="preserve">GL-14</t>
  </si>
  <si>
    <t xml:space="preserve">Demo data is enough for every owner screen to have content</t>
  </si>
  <si>
    <t xml:space="preserve">Choose Guesthouse owner in demo mode, open in turn Overview, Transactions, Stays, Shift reconciliation, Reports, Expenses, Payroll, Maintenance, Services and stock, Roster, Alerts, Activity log</t>
  </si>
  <si>
    <t xml:space="preserve">No screen is empty or all zeros. About 30 days of data: stays, bank-transfer and cash payments, closed shifts, expenses, maintenance tickets, a roster, leave, payroll, a few alerts (including resolved ones).</t>
  </si>
  <si>
    <t xml:space="preserve">The seed currently has only 2 buildings, 5 services, 5 users, 5 sample stays, 2 alerts.</t>
  </si>
  <si>
    <t xml:space="preserve">GL-15</t>
  </si>
  <si>
    <t xml:space="preserve">Each demo visit gets its own data and cleans itself up</t>
  </si>
  <si>
    <t xml:space="preserve">1) Enter the demo in two different browsers, do a few actions in browser A
2) Look at the data in browser B
3) Let the trial account expire or run the cleanup command</t>
  </si>
  <si>
    <t xml:space="preserve">The two sessions do not see each other's data. An expired trial guesthouse is cleaned up and does not fill the database. Other guesthouses are not affected.</t>
  </si>
  <si>
    <t xml:space="preserve">API-2 to check whether a cleanup job for expired trial guesthouses exists.</t>
  </si>
  <si>
    <t xml:space="preserve">GL-16</t>
  </si>
  <si>
    <t xml:space="preserve">Portfolio package: README, screenshots, script video</t>
  </si>
  <si>
    <t xml:space="preserve">Open the README on GitHub; open the screenshots folder; watch the script video or GIF</t>
  </si>
  <si>
    <t xml:space="preserve">The README has a product description, an architecture diagram (Go, PostgreSQL RLS, Next.js embedded in the binary), the demo run command, screenshots of the main screens, a 3-minute video or GIF, and the notable technical decisions (integer money, HMAC-signed webhooks, idempotency, RLS, an uneditable activity log).</t>
  </si>
  <si>
    <t xml:space="preserve">Reuse QA's screenshot script and record the video with Playwright.
May include a video of the SePay test mode flow (recorded in the hand-test session); do not expose keys, hook IDs or account numbers.</t>
  </si>
</sst>
</file>

<file path=xl/styles.xml><?xml version="1.0" encoding="utf-8"?>
<styleSheet xmlns="http://schemas.openxmlformats.org/spreadsheetml/2006/main">
  <numFmts count="4">
    <numFmt numFmtId="164" formatCode="General"/>
    <numFmt numFmtId="165" formatCode="General"/>
    <numFmt numFmtId="166" formatCode="0%"/>
    <numFmt numFmtId="167" formatCode="dd\ mmm\ yyyy"/>
  </numFmts>
  <fonts count="10">
    <font>
      <sz val="11"/>
      <color theme="1"/>
      <name val="Calibri"/>
      <family val="2"/>
      <charset val="1"/>
    </font>
    <font>
      <sz val="10"/>
      <name val="Arial"/>
      <family val="0"/>
    </font>
    <font>
      <sz val="10"/>
      <name val="Arial"/>
      <family val="0"/>
    </font>
    <font>
      <sz val="10"/>
      <name val="Arial"/>
      <family val="0"/>
    </font>
    <font>
      <b val="true"/>
      <sz val="14"/>
      <color rgb="FF1F4E5F"/>
      <name val="Arial"/>
      <family val="0"/>
      <charset val="1"/>
    </font>
    <font>
      <i val="true"/>
      <sz val="9"/>
      <color rgb="FF5C5A55"/>
      <name val="Arial"/>
      <family val="0"/>
      <charset val="1"/>
    </font>
    <font>
      <b val="true"/>
      <sz val="11"/>
      <color rgb="FF1F4E5F"/>
      <name val="Arial"/>
      <family val="0"/>
      <charset val="1"/>
    </font>
    <font>
      <b val="true"/>
      <sz val="10"/>
      <color rgb="FF000000"/>
      <name val="Arial"/>
      <family val="0"/>
      <charset val="1"/>
    </font>
    <font>
      <sz val="10"/>
      <color rgb="FF000000"/>
      <name val="Arial"/>
      <family val="0"/>
      <charset val="1"/>
    </font>
    <font>
      <b val="true"/>
      <sz val="10"/>
      <color rgb="FFFFFFFF"/>
      <name val="Arial"/>
      <family val="0"/>
      <charset val="1"/>
    </font>
  </fonts>
  <fills count="12">
    <fill>
      <patternFill patternType="none"/>
    </fill>
    <fill>
      <patternFill patternType="gray125"/>
    </fill>
    <fill>
      <patternFill patternType="solid">
        <fgColor rgb="FF1F4E5F"/>
        <bgColor rgb="FF1F5A30"/>
      </patternFill>
    </fill>
    <fill>
      <patternFill patternType="solid">
        <fgColor rgb="FFE8EEF1"/>
        <bgColor rgb="FFE6ECF7"/>
      </patternFill>
    </fill>
    <fill>
      <patternFill patternType="solid">
        <fgColor rgb="FFE3F0E6"/>
        <bgColor rgb="FFE8EEF1"/>
      </patternFill>
    </fill>
    <fill>
      <patternFill patternType="solid">
        <fgColor rgb="FFFBF1D6"/>
        <bgColor rgb="FFFFFBE0"/>
      </patternFill>
    </fill>
    <fill>
      <patternFill patternType="solid">
        <fgColor rgb="FFE6ECF7"/>
        <bgColor rgb="FFE8EEF1"/>
      </patternFill>
    </fill>
    <fill>
      <patternFill patternType="solid">
        <fgColor rgb="FFF3E8E0"/>
        <bgColor rgb="FFECE9E2"/>
      </patternFill>
    </fill>
    <fill>
      <patternFill patternType="solid">
        <fgColor rgb="FFEFE6F3"/>
        <bgColor rgb="FFECE9E2"/>
      </patternFill>
    </fill>
    <fill>
      <patternFill patternType="solid">
        <fgColor rgb="FFFBE5E2"/>
        <bgColor rgb="FFF3E8E0"/>
      </patternFill>
    </fill>
    <fill>
      <patternFill patternType="solid">
        <fgColor rgb="FFECE9E2"/>
        <bgColor rgb="FFF3E8E0"/>
      </patternFill>
    </fill>
    <fill>
      <patternFill patternType="solid">
        <fgColor rgb="FFFFFBE0"/>
        <bgColor rgb="FFFBF1D6"/>
      </patternFill>
    </fill>
  </fills>
  <borders count="2">
    <border diagonalUp="false" diagonalDown="false">
      <left/>
      <right/>
      <top/>
      <bottom/>
      <diagonal/>
    </border>
    <border diagonalUp="false" diagonalDown="false">
      <left style="thin">
        <color rgb="FFD9D5CC"/>
      </left>
      <right style="thin">
        <color rgb="FFD9D5CC"/>
      </right>
      <top style="thin">
        <color rgb="FFD9D5CC"/>
      </top>
      <bottom style="thin">
        <color rgb="FFD9D5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left"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8" fillId="4" borderId="1" xfId="0" applyFont="true" applyBorder="true" applyAlignment="true" applyProtection="false">
      <alignment horizontal="left" vertical="bottom" textRotation="0" wrapText="false" indent="0" shrinkToFit="false"/>
      <protection locked="true" hidden="false"/>
    </xf>
    <xf numFmtId="164" fontId="8" fillId="5" borderId="1" xfId="0" applyFont="true" applyBorder="true" applyAlignment="true" applyProtection="false">
      <alignment horizontal="left" vertical="bottom" textRotation="0" wrapText="false" indent="0" shrinkToFit="false"/>
      <protection locked="true" hidden="false"/>
    </xf>
    <xf numFmtId="164" fontId="8" fillId="6" borderId="1" xfId="0" applyFont="true" applyBorder="true" applyAlignment="true" applyProtection="false">
      <alignment horizontal="left" vertical="bottom" textRotation="0" wrapText="false" indent="0" shrinkToFit="false"/>
      <protection locked="true" hidden="false"/>
    </xf>
    <xf numFmtId="164" fontId="8" fillId="7" borderId="1" xfId="0" applyFont="true" applyBorder="true" applyAlignment="true" applyProtection="false">
      <alignment horizontal="left" vertical="bottom" textRotation="0" wrapText="false" indent="0" shrinkToFit="false"/>
      <protection locked="true" hidden="false"/>
    </xf>
    <xf numFmtId="164" fontId="8" fillId="8" borderId="1" xfId="0" applyFont="true" applyBorder="true" applyAlignment="true" applyProtection="false">
      <alignment horizontal="left" vertical="bottom" textRotation="0" wrapText="false" indent="0" shrinkToFit="false"/>
      <protection locked="true" hidden="false"/>
    </xf>
    <xf numFmtId="164" fontId="8" fillId="9" borderId="1" xfId="0" applyFont="true" applyBorder="true" applyAlignment="true" applyProtection="false">
      <alignment horizontal="left" vertical="bottom" textRotation="0" wrapText="false" indent="0" shrinkToFit="false"/>
      <protection locked="true" hidden="false"/>
    </xf>
    <xf numFmtId="164" fontId="7" fillId="10" borderId="1" xfId="0" applyFont="true" applyBorder="true" applyAlignment="true" applyProtection="false">
      <alignment horizontal="left" vertical="bottom" textRotation="0" wrapText="false" indent="0" shrinkToFit="false"/>
      <protection locked="true" hidden="false"/>
    </xf>
    <xf numFmtId="165" fontId="7" fillId="10" borderId="1" xfId="0" applyFont="true" applyBorder="true" applyAlignment="true" applyProtection="false">
      <alignment horizontal="center" vertical="bottom" textRotation="0" wrapText="false" indent="0" shrinkToFit="false"/>
      <protection locked="true" hidden="false"/>
    </xf>
    <xf numFmtId="166" fontId="7" fillId="1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8" fillId="3"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8" fillId="11" borderId="1" xfId="0" applyFont="true" applyBorder="true" applyAlignment="true" applyProtection="false">
      <alignment horizontal="center" vertical="top" textRotation="0" wrapText="true" indent="0" shrinkToFit="false"/>
      <protection locked="true" hidden="false"/>
    </xf>
    <xf numFmtId="167" fontId="8" fillId="11" borderId="1" xfId="0" applyFont="true" applyBorder="true" applyAlignment="true" applyProtection="false">
      <alignment horizontal="center" vertical="top" textRotation="0" wrapText="true" indent="0" shrinkToFit="false"/>
      <protection locked="true" hidden="false"/>
    </xf>
    <xf numFmtId="164" fontId="8" fillId="11"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8" fillId="6" borderId="1" xfId="0" applyFont="true" applyBorder="true" applyAlignment="true" applyProtection="false">
      <alignment horizontal="left" vertical="top" textRotation="0" wrapText="true" indent="0" shrinkToFit="false"/>
      <protection locked="true" hidden="false"/>
    </xf>
    <xf numFmtId="164" fontId="8" fillId="7" borderId="1" xfId="0" applyFont="true" applyBorder="true" applyAlignment="true" applyProtection="false">
      <alignment horizontal="left" vertical="top" textRotation="0" wrapText="true" indent="0" shrinkToFit="false"/>
      <protection locked="true" hidden="false"/>
    </xf>
    <xf numFmtId="164" fontId="8" fillId="8" borderId="1" xfId="0" applyFont="true" applyBorder="true" applyAlignment="true" applyProtection="false">
      <alignment horizontal="left" vertical="top" textRotation="0" wrapText="true" indent="0" shrinkToFit="false"/>
      <protection locked="true" hidden="false"/>
    </xf>
    <xf numFmtId="164" fontId="8" fillId="9"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4">
    <dxf>
      <font>
        <name val="Arial"/>
        <charset val="1"/>
        <family val="0"/>
        <b val="1"/>
        <color rgb="FF8E2320"/>
      </font>
      <fill>
        <patternFill>
          <bgColor rgb="FFF5C2BD"/>
        </patternFill>
      </fill>
    </dxf>
    <dxf>
      <font>
        <name val="Arial"/>
        <charset val="1"/>
        <family val="0"/>
        <b val="1"/>
        <color rgb="FF7A5A00"/>
      </font>
      <fill>
        <patternFill>
          <bgColor rgb="FFFBE9B0"/>
        </patternFill>
      </fill>
    </dxf>
    <dxf>
      <font>
        <name val="Arial"/>
        <charset val="1"/>
        <family val="0"/>
        <b val="1"/>
        <color rgb="FF1F5A30"/>
      </font>
      <fill>
        <patternFill>
          <bgColor rgb="FFC6E8CD"/>
        </patternFill>
      </fill>
    </dxf>
    <dxf>
      <fill>
        <patternFill patternType="solid">
          <fgColor rgb="FF1F4E5F"/>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E3F0E6"/>
          <bgColor rgb="FF000000"/>
        </patternFill>
      </fill>
    </dxf>
    <dxf>
      <fill>
        <patternFill patternType="solid">
          <fgColor rgb="FFE6ECF7"/>
          <bgColor rgb="FF000000"/>
        </patternFill>
      </fill>
    </dxf>
    <dxf>
      <fill>
        <patternFill patternType="solid">
          <fgColor rgb="FFE8EEF1"/>
          <bgColor rgb="FF000000"/>
        </patternFill>
      </fill>
    </dxf>
    <dxf>
      <fill>
        <patternFill patternType="solid">
          <fgColor rgb="FFEFE6F3"/>
          <bgColor rgb="FF000000"/>
        </patternFill>
      </fill>
    </dxf>
    <dxf>
      <fill>
        <patternFill patternType="solid">
          <fgColor rgb="FFF3E8E0"/>
          <bgColor rgb="FF000000"/>
        </patternFill>
      </fill>
    </dxf>
    <dxf>
      <fill>
        <patternFill patternType="solid">
          <fgColor rgb="FFFBE5E2"/>
          <bgColor rgb="FF000000"/>
        </patternFill>
      </fill>
    </dxf>
    <dxf>
      <fill>
        <patternFill patternType="solid">
          <fgColor rgb="FFFBF1D6"/>
          <bgColor rgb="FF000000"/>
        </patternFill>
      </fill>
    </dxf>
    <dxf>
      <fill>
        <patternFill patternType="solid">
          <fgColor rgb="FF8E2320"/>
          <bgColor rgb="FF000000"/>
        </patternFill>
      </fill>
    </dxf>
    <dxf>
      <fill>
        <patternFill patternType="solid">
          <fgColor rgb="FFC6E8CD"/>
          <bgColor rgb="FF000000"/>
        </patternFill>
      </fill>
    </dxf>
    <dxf>
      <fill>
        <patternFill patternType="solid">
          <fgColor rgb="FFE0DED8"/>
          <bgColor rgb="FF000000"/>
        </patternFill>
      </fill>
    </dxf>
    <dxf>
      <fill>
        <patternFill patternType="solid">
          <fgColor rgb="FFFBE9B0"/>
          <bgColor rgb="FF000000"/>
        </patternFill>
      </fill>
    </dxf>
    <dxf>
      <fill>
        <patternFill patternType="solid">
          <fgColor rgb="FFFFFBE0"/>
          <bgColor rgb="FF000000"/>
        </patternFill>
      </fill>
    </dxf>
    <dxf>
      <fill>
        <patternFill patternType="solid">
          <fgColor rgb="FF1F5A30"/>
          <bgColor rgb="FF000000"/>
        </patternFill>
      </fill>
    </dxf>
    <dxf>
      <fill>
        <patternFill patternType="solid">
          <fgColor rgb="FF5C5A55"/>
          <bgColor rgb="FF000000"/>
        </patternFill>
      </fill>
    </dxf>
    <dxf>
      <fill>
        <patternFill patternType="solid">
          <fgColor rgb="FF7A5A00"/>
          <bgColor rgb="FF000000"/>
        </patternFill>
      </fill>
    </dxf>
    <dxf>
      <font>
        <name val="Arial"/>
        <charset val="1"/>
        <family val="0"/>
        <color rgb="FF5C5A55"/>
      </font>
      <fill>
        <patternFill>
          <bgColor rgb="FFE0DED8"/>
        </patternFill>
      </fill>
    </dxf>
    <dxf>
      <font>
        <name val="Arial"/>
        <charset val="1"/>
        <family val="0"/>
        <b val="1"/>
        <color rgb="FF8E2320"/>
      </font>
    </dxf>
  </dxfs>
  <colors>
    <indexedColors>
      <rgbColor rgb="FF000000"/>
      <rgbColor rgb="FFFFFFFF"/>
      <rgbColor rgb="FFFF0000"/>
      <rgbColor rgb="FF00FF00"/>
      <rgbColor rgb="FF0000FF"/>
      <rgbColor rgb="FFFBF1D6"/>
      <rgbColor rgb="FFFF00FF"/>
      <rgbColor rgb="FF00FFFF"/>
      <rgbColor rgb="FF800000"/>
      <rgbColor rgb="FF008000"/>
      <rgbColor rgb="FF000080"/>
      <rgbColor rgb="FF7A5A00"/>
      <rgbColor rgb="FF800080"/>
      <rgbColor rgb="FF008080"/>
      <rgbColor rgb="FFE0DED8"/>
      <rgbColor rgb="FF808080"/>
      <rgbColor rgb="FFECE9E2"/>
      <rgbColor rgb="FF993366"/>
      <rgbColor rgb="FFFFFBE0"/>
      <rgbColor rgb="FFE3F0E6"/>
      <rgbColor rgb="FF660066"/>
      <rgbColor rgb="FFFF8080"/>
      <rgbColor rgb="FF0066CC"/>
      <rgbColor rgb="FFD9D5CC"/>
      <rgbColor rgb="FF000080"/>
      <rgbColor rgb="FFFF00FF"/>
      <rgbColor rgb="FFF3E8E0"/>
      <rgbColor rgb="FF00FFFF"/>
      <rgbColor rgb="FF800080"/>
      <rgbColor rgb="FF800000"/>
      <rgbColor rgb="FF008080"/>
      <rgbColor rgb="FF0000FF"/>
      <rgbColor rgb="FF00CCFF"/>
      <rgbColor rgb="FFE6ECF7"/>
      <rgbColor rgb="FFC6E8CD"/>
      <rgbColor rgb="FFFBE9B0"/>
      <rgbColor rgb="FFE8EEF1"/>
      <rgbColor rgb="FFFBE5E2"/>
      <rgbColor rgb="FFEFE6F3"/>
      <rgbColor rgb="FFF5C2BD"/>
      <rgbColor rgb="FF3366FF"/>
      <rgbColor rgb="FF33CCCC"/>
      <rgbColor rgb="FF99CC00"/>
      <rgbColor rgb="FFFFCC00"/>
      <rgbColor rgb="FFFF9900"/>
      <rgbColor rgb="FFFF6600"/>
      <rgbColor rgb="FF5C5A55"/>
      <rgbColor rgb="FF969696"/>
      <rgbColor rgb="FF1F4E5F"/>
      <rgbColor rgb="FF339966"/>
      <rgbColor rgb="FF003300"/>
      <rgbColor rgb="FF333300"/>
      <rgbColor rgb="FF8E2320"/>
      <rgbColor rgb="FF993366"/>
      <rgbColor rgb="FF333399"/>
      <rgbColor rgb="FF1F5A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78"/>
    <col collapsed="false" customWidth="true" hidden="false" outlineLevel="0" max="3" min="3" style="1" width="16"/>
  </cols>
  <sheetData>
    <row r="1" customFormat="false" ht="17.25" hidden="false" customHeight="true" outlineLevel="0" collapsed="false">
      <c r="A1" s="2" t="s">
        <v>0</v>
      </c>
    </row>
    <row r="2" customFormat="false" ht="15" hidden="false" customHeight="true" outlineLevel="0" collapsed="false">
      <c r="A2" s="3" t="s">
        <v>1</v>
      </c>
    </row>
    <row r="4" customFormat="false" ht="15" hidden="false" customHeight="true" outlineLevel="0" collapsed="false">
      <c r="A4" s="4" t="s">
        <v>2</v>
      </c>
    </row>
    <row r="5" customFormat="false" ht="23.25" hidden="false" customHeight="true" outlineLevel="0" collapsed="false">
      <c r="A5" s="5" t="s">
        <v>3</v>
      </c>
      <c r="B5" s="6" t="s">
        <v>4</v>
      </c>
    </row>
    <row r="6" customFormat="false" ht="23.25" hidden="false" customHeight="true" outlineLevel="0" collapsed="false">
      <c r="A6" s="5" t="s">
        <v>5</v>
      </c>
      <c r="B6" s="6" t="s">
        <v>6</v>
      </c>
    </row>
    <row r="7" customFormat="false" ht="23.25" hidden="false" customHeight="true" outlineLevel="0" collapsed="false">
      <c r="A7" s="5" t="s">
        <v>7</v>
      </c>
      <c r="B7" s="6" t="s">
        <v>8</v>
      </c>
    </row>
    <row r="8" customFormat="false" ht="23.25" hidden="false" customHeight="true" outlineLevel="0" collapsed="false">
      <c r="A8" s="5" t="s">
        <v>9</v>
      </c>
      <c r="B8" s="6" t="s">
        <v>10</v>
      </c>
    </row>
    <row r="10" customFormat="false" ht="15" hidden="false" customHeight="true" outlineLevel="0" collapsed="false">
      <c r="A10" s="4" t="s">
        <v>11</v>
      </c>
    </row>
    <row r="11" customFormat="false" ht="15" hidden="false" customHeight="true" outlineLevel="0" collapsed="false">
      <c r="A11" s="5" t="s">
        <v>5</v>
      </c>
      <c r="B11" s="6" t="s">
        <v>12</v>
      </c>
    </row>
    <row r="12" customFormat="false" ht="15" hidden="false" customHeight="true" outlineLevel="0" collapsed="false">
      <c r="A12" s="5" t="s">
        <v>13</v>
      </c>
      <c r="B12" s="6" t="s">
        <v>14</v>
      </c>
    </row>
    <row r="13" customFormat="false" ht="15" hidden="false" customHeight="true" outlineLevel="0" collapsed="false">
      <c r="A13" s="5" t="s">
        <v>15</v>
      </c>
      <c r="B13" s="6" t="s">
        <v>16</v>
      </c>
    </row>
    <row r="15" customFormat="false" ht="15" hidden="false" customHeight="true" outlineLevel="0" collapsed="false">
      <c r="A15" s="4" t="s">
        <v>17</v>
      </c>
    </row>
    <row r="16" customFormat="false" ht="15" hidden="false" customHeight="true" outlineLevel="0" collapsed="false">
      <c r="A16" s="5" t="s">
        <v>18</v>
      </c>
      <c r="B16" s="6" t="s">
        <v>19</v>
      </c>
    </row>
    <row r="17" customFormat="false" ht="23.25" hidden="false" customHeight="true" outlineLevel="0" collapsed="false">
      <c r="A17" s="5" t="s">
        <v>20</v>
      </c>
      <c r="B17" s="6" t="s">
        <v>21</v>
      </c>
    </row>
    <row r="18" customFormat="false" ht="23.25" hidden="false" customHeight="true" outlineLevel="0" collapsed="false">
      <c r="A18" s="5" t="s">
        <v>22</v>
      </c>
      <c r="B18" s="6" t="s">
        <v>23</v>
      </c>
    </row>
    <row r="19" customFormat="false" ht="23.25" hidden="false" customHeight="true" outlineLevel="0" collapsed="false">
      <c r="A19" s="5" t="s">
        <v>24</v>
      </c>
      <c r="B19" s="6" t="s">
        <v>25</v>
      </c>
    </row>
    <row r="20" customFormat="false" ht="15" hidden="false" customHeight="true" outlineLevel="0" collapsed="false">
      <c r="A20" s="5" t="s">
        <v>26</v>
      </c>
      <c r="B20" s="6" t="s">
        <v>27</v>
      </c>
    </row>
    <row r="21" customFormat="false" ht="23.25" hidden="false" customHeight="true" outlineLevel="0" collapsed="false">
      <c r="A21" s="5" t="s">
        <v>28</v>
      </c>
      <c r="B21" s="6" t="s">
        <v>29</v>
      </c>
    </row>
    <row r="22" customFormat="false" ht="15" hidden="false" customHeight="true" outlineLevel="0" collapsed="false">
      <c r="A22" s="4" t="s">
        <v>30</v>
      </c>
    </row>
    <row r="23" customFormat="false" ht="15" hidden="false" customHeight="true" outlineLevel="0" collapsed="false">
      <c r="A23" s="5" t="s">
        <v>31</v>
      </c>
      <c r="B23" s="6" t="s">
        <v>32</v>
      </c>
    </row>
    <row r="24" customFormat="false" ht="15" hidden="false" customHeight="true" outlineLevel="0" collapsed="false">
      <c r="A24" s="5" t="s">
        <v>33</v>
      </c>
      <c r="B24" s="6" t="s">
        <v>34</v>
      </c>
    </row>
    <row r="25" customFormat="false" ht="23.25" hidden="false" customHeight="true" outlineLevel="0" collapsed="false">
      <c r="A25" s="5" t="s">
        <v>35</v>
      </c>
      <c r="B25" s="6" t="s">
        <v>36</v>
      </c>
    </row>
    <row r="26" customFormat="false" ht="23.25" hidden="false" customHeight="true" outlineLevel="0" collapsed="false">
      <c r="A26" s="5" t="s">
        <v>37</v>
      </c>
      <c r="B26" s="6" t="s">
        <v>38</v>
      </c>
    </row>
    <row r="28" customFormat="false" ht="15" hidden="false" customHeight="true" outlineLevel="0" collapsed="false">
      <c r="A28" s="4" t="s">
        <v>39</v>
      </c>
    </row>
    <row r="29" customFormat="false" ht="15" hidden="false" customHeight="true" outlineLevel="0" collapsed="false">
      <c r="A29" s="5" t="s">
        <v>40</v>
      </c>
      <c r="B29" s="6" t="s">
        <v>41</v>
      </c>
    </row>
    <row r="30" customFormat="false" ht="15" hidden="false" customHeight="true" outlineLevel="0" collapsed="false">
      <c r="A30" s="5" t="s">
        <v>42</v>
      </c>
      <c r="B30" s="6" t="s">
        <v>43</v>
      </c>
    </row>
    <row r="31" customFormat="false" ht="15" hidden="false" customHeight="true" outlineLevel="0" collapsed="false">
      <c r="A31" s="5" t="s">
        <v>44</v>
      </c>
      <c r="B31" s="6" t="s">
        <v>45</v>
      </c>
    </row>
    <row r="32" customFormat="false" ht="15" hidden="false" customHeight="true" outlineLevel="0" collapsed="false">
      <c r="A32" s="5" t="s">
        <v>46</v>
      </c>
      <c r="B32" s="6" t="s">
        <v>47</v>
      </c>
    </row>
    <row r="33" customFormat="false" ht="15" hidden="false" customHeight="true" outlineLevel="0" collapsed="false">
      <c r="A33" s="5" t="s">
        <v>48</v>
      </c>
      <c r="B33" s="6" t="s">
        <v>49</v>
      </c>
    </row>
    <row r="34" customFormat="false" ht="23.25" hidden="false" customHeight="true" outlineLevel="0" collapsed="false">
      <c r="A34" s="5" t="s">
        <v>50</v>
      </c>
      <c r="B34" s="6" t="s">
        <v>51</v>
      </c>
    </row>
    <row r="35" customFormat="false" ht="15" hidden="false" customHeight="true" outlineLevel="0" collapsed="false">
      <c r="A35" s="5" t="s">
        <v>52</v>
      </c>
      <c r="B35" s="6" t="s">
        <v>53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4" min="2" style="1" width="10"/>
    <col collapsed="false" customWidth="true" hidden="false" outlineLevel="0" max="5" min="5" style="1" width="13"/>
    <col collapsed="false" customWidth="true" hidden="false" outlineLevel="0" max="6" min="6" style="1" width="10"/>
    <col collapsed="false" customWidth="true" hidden="false" outlineLevel="0" max="7" min="7" style="1" width="11"/>
    <col collapsed="false" customWidth="true" hidden="false" outlineLevel="0" max="8" min="8" style="1" width="13"/>
  </cols>
  <sheetData>
    <row r="1" customFormat="false" ht="17.25" hidden="false" customHeight="true" outlineLevel="0" collapsed="false">
      <c r="A1" s="2" t="s">
        <v>54</v>
      </c>
    </row>
    <row r="2" customFormat="false" ht="15" hidden="false" customHeight="true" outlineLevel="0" collapsed="false">
      <c r="A2" s="3" t="s">
        <v>55</v>
      </c>
    </row>
    <row r="4" customFormat="false" ht="15" hidden="false" customHeight="true" outlineLevel="0" collapsed="false">
      <c r="A4" s="7" t="s">
        <v>56</v>
      </c>
      <c r="B4" s="7" t="s">
        <v>57</v>
      </c>
      <c r="C4" s="7" t="s">
        <v>12</v>
      </c>
      <c r="D4" s="7" t="s">
        <v>58</v>
      </c>
      <c r="E4" s="7" t="s">
        <v>59</v>
      </c>
      <c r="F4" s="7" t="s">
        <v>60</v>
      </c>
      <c r="G4" s="7" t="s">
        <v>61</v>
      </c>
      <c r="H4" s="7" t="s">
        <v>62</v>
      </c>
    </row>
    <row r="5" customFormat="false" ht="15" hidden="false" customHeight="true" outlineLevel="0" collapsed="false">
      <c r="A5" s="8" t="s">
        <v>63</v>
      </c>
      <c r="B5" s="9" t="n">
        <f aca="false">COUNTIF(Checklist!$B$2:$B$300,$A5)</f>
        <v>11</v>
      </c>
      <c r="C5" s="9" t="n">
        <f aca="false">COUNTIFS(Checklist!$B$2:$B$300,$A5,Checklist!$H$2:$H$300,"Passed")</f>
        <v>6</v>
      </c>
      <c r="D5" s="9" t="n">
        <f aca="false">COUNTIFS(Checklist!$B$2:$B$300,$A5,Checklist!$H$2:$H$300,"Failed")</f>
        <v>0</v>
      </c>
      <c r="E5" s="9" t="n">
        <f aca="false">COUNTIFS(Checklist!$B$2:$B$300,$A5,Checklist!$H$2:$H$300,"Retest")</f>
        <v>0</v>
      </c>
      <c r="F5" s="9" t="n">
        <f aca="false">COUNTIFS(Checklist!$B$2:$B$300,$A5,Checklist!$H$2:$H$300,"Skipped")</f>
        <v>3</v>
      </c>
      <c r="G5" s="9" t="n">
        <f aca="false">B5-C5-D5-E5-F5</f>
        <v>2</v>
      </c>
      <c r="H5" s="10" t="n">
        <f aca="false">IFERROR(C5/(B5-F5),0)</f>
        <v>0.75</v>
      </c>
    </row>
    <row r="6" customFormat="false" ht="15" hidden="false" customHeight="true" outlineLevel="0" collapsed="false">
      <c r="A6" s="11" t="s">
        <v>64</v>
      </c>
      <c r="B6" s="9" t="n">
        <f aca="false">COUNTIF(Checklist!$B$2:$B$300,$A6)</f>
        <v>29</v>
      </c>
      <c r="C6" s="9" t="n">
        <f aca="false">COUNTIFS(Checklist!$B$2:$B$300,$A6,Checklist!$H$2:$H$300,"Passed")</f>
        <v>24</v>
      </c>
      <c r="D6" s="9" t="n">
        <f aca="false">COUNTIFS(Checklist!$B$2:$B$300,$A6,Checklist!$H$2:$H$300,"Failed")</f>
        <v>0</v>
      </c>
      <c r="E6" s="9" t="n">
        <f aca="false">COUNTIFS(Checklist!$B$2:$B$300,$A6,Checklist!$H$2:$H$300,"Retest")</f>
        <v>3</v>
      </c>
      <c r="F6" s="9" t="n">
        <f aca="false">COUNTIFS(Checklist!$B$2:$B$300,$A6,Checklist!$H$2:$H$300,"Skipped")</f>
        <v>2</v>
      </c>
      <c r="G6" s="9" t="n">
        <f aca="false">B6-C6-D6-E6-F6</f>
        <v>0</v>
      </c>
      <c r="H6" s="10" t="n">
        <f aca="false">IFERROR(C6/(B6-F6),0)</f>
        <v>0.888888888888889</v>
      </c>
    </row>
    <row r="7" customFormat="false" ht="15" hidden="false" customHeight="true" outlineLevel="0" collapsed="false">
      <c r="A7" s="12" t="s">
        <v>65</v>
      </c>
      <c r="B7" s="9" t="n">
        <f aca="false">COUNTIF(Checklist!$B$2:$B$300,$A7)</f>
        <v>11</v>
      </c>
      <c r="C7" s="9" t="n">
        <f aca="false">COUNTIFS(Checklist!$B$2:$B$300,$A7,Checklist!$H$2:$H$300,"Passed")</f>
        <v>10</v>
      </c>
      <c r="D7" s="9" t="n">
        <f aca="false">COUNTIFS(Checklist!$B$2:$B$300,$A7,Checklist!$H$2:$H$300,"Failed")</f>
        <v>0</v>
      </c>
      <c r="E7" s="9" t="n">
        <f aca="false">COUNTIFS(Checklist!$B$2:$B$300,$A7,Checklist!$H$2:$H$300,"Retest")</f>
        <v>1</v>
      </c>
      <c r="F7" s="9" t="n">
        <f aca="false">COUNTIFS(Checklist!$B$2:$B$300,$A7,Checklist!$H$2:$H$300,"Skipped")</f>
        <v>0</v>
      </c>
      <c r="G7" s="9" t="n">
        <f aca="false">B7-C7-D7-E7-F7</f>
        <v>0</v>
      </c>
      <c r="H7" s="10" t="n">
        <f aca="false">IFERROR(C7/(B7-F7),0)</f>
        <v>0.909090909090909</v>
      </c>
    </row>
    <row r="8" customFormat="false" ht="15" hidden="false" customHeight="true" outlineLevel="0" collapsed="false">
      <c r="A8" s="13" t="s">
        <v>66</v>
      </c>
      <c r="B8" s="9" t="n">
        <f aca="false">COUNTIF(Checklist!$B$2:$B$300,$A8)</f>
        <v>10</v>
      </c>
      <c r="C8" s="9" t="n">
        <f aca="false">COUNTIFS(Checklist!$B$2:$B$300,$A8,Checklist!$H$2:$H$300,"Passed")</f>
        <v>9</v>
      </c>
      <c r="D8" s="9" t="n">
        <f aca="false">COUNTIFS(Checklist!$B$2:$B$300,$A8,Checklist!$H$2:$H$300,"Failed")</f>
        <v>0</v>
      </c>
      <c r="E8" s="9" t="n">
        <f aca="false">COUNTIFS(Checklist!$B$2:$B$300,$A8,Checklist!$H$2:$H$300,"Retest")</f>
        <v>0</v>
      </c>
      <c r="F8" s="9" t="n">
        <f aca="false">COUNTIFS(Checklist!$B$2:$B$300,$A8,Checklist!$H$2:$H$300,"Skipped")</f>
        <v>0</v>
      </c>
      <c r="G8" s="9" t="n">
        <f aca="false">B8-C8-D8-E8-F8</f>
        <v>1</v>
      </c>
      <c r="H8" s="10" t="n">
        <f aca="false">IFERROR(C8/(B8-F8),0)</f>
        <v>0.9</v>
      </c>
    </row>
    <row r="9" customFormat="false" ht="15" hidden="false" customHeight="true" outlineLevel="0" collapsed="false">
      <c r="A9" s="14" t="s">
        <v>67</v>
      </c>
      <c r="B9" s="9" t="n">
        <f aca="false">COUNTIF(Checklist!$B$2:$B$300,$A9)</f>
        <v>9</v>
      </c>
      <c r="C9" s="9" t="n">
        <f aca="false">COUNTIFS(Checklist!$B$2:$B$300,$A9,Checklist!$H$2:$H$300,"Passed")</f>
        <v>9</v>
      </c>
      <c r="D9" s="9" t="n">
        <f aca="false">COUNTIFS(Checklist!$B$2:$B$300,$A9,Checklist!$H$2:$H$300,"Failed")</f>
        <v>0</v>
      </c>
      <c r="E9" s="9" t="n">
        <f aca="false">COUNTIFS(Checklist!$B$2:$B$300,$A9,Checklist!$H$2:$H$300,"Retest")</f>
        <v>0</v>
      </c>
      <c r="F9" s="9" t="n">
        <f aca="false">COUNTIFS(Checklist!$B$2:$B$300,$A9,Checklist!$H$2:$H$300,"Skipped")</f>
        <v>0</v>
      </c>
      <c r="G9" s="9" t="n">
        <f aca="false">B9-C9-D9-E9-F9</f>
        <v>0</v>
      </c>
      <c r="H9" s="10" t="n">
        <f aca="false">IFERROR(C9/(B9-F9),0)</f>
        <v>1</v>
      </c>
    </row>
    <row r="10" customFormat="false" ht="15" hidden="false" customHeight="true" outlineLevel="0" collapsed="false">
      <c r="A10" s="15" t="s">
        <v>68</v>
      </c>
      <c r="B10" s="9" t="n">
        <f aca="false">COUNTIF(Checklist!$B$2:$B$300,$A10)</f>
        <v>9</v>
      </c>
      <c r="C10" s="9" t="n">
        <f aca="false">COUNTIFS(Checklist!$B$2:$B$300,$A10,Checklist!$H$2:$H$300,"Passed")</f>
        <v>9</v>
      </c>
      <c r="D10" s="9" t="n">
        <f aca="false">COUNTIFS(Checklist!$B$2:$B$300,$A10,Checklist!$H$2:$H$300,"Failed")</f>
        <v>0</v>
      </c>
      <c r="E10" s="9" t="n">
        <f aca="false">COUNTIFS(Checklist!$B$2:$B$300,$A10,Checklist!$H$2:$H$300,"Retest")</f>
        <v>0</v>
      </c>
      <c r="F10" s="9" t="n">
        <f aca="false">COUNTIFS(Checklist!$B$2:$B$300,$A10,Checklist!$H$2:$H$300,"Skipped")</f>
        <v>0</v>
      </c>
      <c r="G10" s="9" t="n">
        <f aca="false">B10-C10-D10-E10-F10</f>
        <v>0</v>
      </c>
      <c r="H10" s="10" t="n">
        <f aca="false">IFERROR(C10/(B10-F10),0)</f>
        <v>1</v>
      </c>
    </row>
    <row r="11" customFormat="false" ht="15" hidden="false" customHeight="true" outlineLevel="0" collapsed="false">
      <c r="A11" s="16" t="s">
        <v>69</v>
      </c>
      <c r="B11" s="9" t="n">
        <f aca="false">COUNTIF(Checklist!$B$2:$B$300,$A11)</f>
        <v>14</v>
      </c>
      <c r="C11" s="9" t="n">
        <f aca="false">COUNTIFS(Checklist!$B$2:$B$300,$A11,Checklist!$H$2:$H$300,"Passed")</f>
        <v>13</v>
      </c>
      <c r="D11" s="9" t="n">
        <f aca="false">COUNTIFS(Checklist!$B$2:$B$300,$A11,Checklist!$H$2:$H$300,"Failed")</f>
        <v>0</v>
      </c>
      <c r="E11" s="9" t="n">
        <f aca="false">COUNTIFS(Checklist!$B$2:$B$300,$A11,Checklist!$H$2:$H$300,"Retest")</f>
        <v>0</v>
      </c>
      <c r="F11" s="9" t="n">
        <f aca="false">COUNTIFS(Checklist!$B$2:$B$300,$A11,Checklist!$H$2:$H$300,"Skipped")</f>
        <v>0</v>
      </c>
      <c r="G11" s="9" t="n">
        <f aca="false">B11-C11-D11-E11-F11</f>
        <v>1</v>
      </c>
      <c r="H11" s="10" t="n">
        <f aca="false">IFERROR(C11/(B11-F11),0)</f>
        <v>0.928571428571429</v>
      </c>
    </row>
    <row r="12" customFormat="false" ht="15" hidden="false" customHeight="true" outlineLevel="0" collapsed="false">
      <c r="A12" s="11" t="s">
        <v>70</v>
      </c>
      <c r="B12" s="9" t="n">
        <f aca="false">COUNTIF(Checklist!$B$2:$B$300,$A12)</f>
        <v>8</v>
      </c>
      <c r="C12" s="9" t="n">
        <f aca="false">COUNTIFS(Checklist!$B$2:$B$300,$A12,Checklist!$H$2:$H$300,"Passed")</f>
        <v>6</v>
      </c>
      <c r="D12" s="9" t="n">
        <f aca="false">COUNTIFS(Checklist!$B$2:$B$300,$A12,Checklist!$H$2:$H$300,"Failed")</f>
        <v>0</v>
      </c>
      <c r="E12" s="9" t="n">
        <f aca="false">COUNTIFS(Checklist!$B$2:$B$300,$A12,Checklist!$H$2:$H$300,"Retest")</f>
        <v>1</v>
      </c>
      <c r="F12" s="9" t="n">
        <f aca="false">COUNTIFS(Checklist!$B$2:$B$300,$A12,Checklist!$H$2:$H$300,"Skipped")</f>
        <v>0</v>
      </c>
      <c r="G12" s="9" t="n">
        <f aca="false">B12-C12-D12-E12-F12</f>
        <v>1</v>
      </c>
      <c r="H12" s="10" t="n">
        <f aca="false">IFERROR(C12/(B12-F12),0)</f>
        <v>0.75</v>
      </c>
    </row>
    <row r="13" customFormat="false" ht="15" hidden="false" customHeight="true" outlineLevel="0" collapsed="false">
      <c r="A13" s="13" t="s">
        <v>71</v>
      </c>
      <c r="B13" s="9" t="n">
        <f aca="false">COUNTIF(Checklist!$B$2:$B$300,$A13)</f>
        <v>10</v>
      </c>
      <c r="C13" s="9" t="n">
        <f aca="false">COUNTIFS(Checklist!$B$2:$B$300,$A13,Checklist!$H$2:$H$300,"Passed")</f>
        <v>10</v>
      </c>
      <c r="D13" s="9" t="n">
        <f aca="false">COUNTIFS(Checklist!$B$2:$B$300,$A13,Checklist!$H$2:$H$300,"Failed")</f>
        <v>0</v>
      </c>
      <c r="E13" s="9" t="n">
        <f aca="false">COUNTIFS(Checklist!$B$2:$B$300,$A13,Checklist!$H$2:$H$300,"Retest")</f>
        <v>0</v>
      </c>
      <c r="F13" s="9" t="n">
        <f aca="false">COUNTIFS(Checklist!$B$2:$B$300,$A13,Checklist!$H$2:$H$300,"Skipped")</f>
        <v>0</v>
      </c>
      <c r="G13" s="9" t="n">
        <f aca="false">B13-C13-D13-E13-F13</f>
        <v>0</v>
      </c>
      <c r="H13" s="10" t="n">
        <f aca="false">IFERROR(C13/(B13-F13),0)</f>
        <v>1</v>
      </c>
    </row>
    <row r="14" customFormat="false" ht="15" hidden="false" customHeight="true" outlineLevel="0" collapsed="false">
      <c r="A14" s="16" t="s">
        <v>72</v>
      </c>
      <c r="B14" s="9" t="n">
        <f aca="false">COUNTIF(Checklist!$B$2:$B$300,$A14)</f>
        <v>5</v>
      </c>
      <c r="C14" s="9" t="n">
        <f aca="false">COUNTIFS(Checklist!$B$2:$B$300,$A14,Checklist!$H$2:$H$300,"Passed")</f>
        <v>4</v>
      </c>
      <c r="D14" s="9" t="n">
        <f aca="false">COUNTIFS(Checklist!$B$2:$B$300,$A14,Checklist!$H$2:$H$300,"Failed")</f>
        <v>0</v>
      </c>
      <c r="E14" s="9" t="n">
        <f aca="false">COUNTIFS(Checklist!$B$2:$B$300,$A14,Checklist!$H$2:$H$300,"Retest")</f>
        <v>0</v>
      </c>
      <c r="F14" s="9" t="n">
        <f aca="false">COUNTIFS(Checklist!$B$2:$B$300,$A14,Checklist!$H$2:$H$300,"Skipped")</f>
        <v>1</v>
      </c>
      <c r="G14" s="9" t="n">
        <f aca="false">B14-C14-D14-E14-F14</f>
        <v>0</v>
      </c>
      <c r="H14" s="10" t="n">
        <f aca="false">IFERROR(C14/(B14-F14),0)</f>
        <v>1</v>
      </c>
    </row>
    <row r="15" customFormat="false" ht="15" hidden="false" customHeight="true" outlineLevel="0" collapsed="false">
      <c r="A15" s="8" t="s">
        <v>73</v>
      </c>
      <c r="B15" s="9" t="n">
        <f aca="false">COUNTIF(Checklist!$B$2:$B$300,$A15)</f>
        <v>7</v>
      </c>
      <c r="C15" s="9" t="n">
        <f aca="false">COUNTIFS(Checklist!$B$2:$B$300,$A15,Checklist!$H$2:$H$300,"Passed")</f>
        <v>4</v>
      </c>
      <c r="D15" s="9" t="n">
        <f aca="false">COUNTIFS(Checklist!$B$2:$B$300,$A15,Checklist!$H$2:$H$300,"Failed")</f>
        <v>0</v>
      </c>
      <c r="E15" s="9" t="n">
        <f aca="false">COUNTIFS(Checklist!$B$2:$B$300,$A15,Checklist!$H$2:$H$300,"Retest")</f>
        <v>0</v>
      </c>
      <c r="F15" s="9" t="n">
        <f aca="false">COUNTIFS(Checklist!$B$2:$B$300,$A15,Checklist!$H$2:$H$300,"Skipped")</f>
        <v>3</v>
      </c>
      <c r="G15" s="9" t="n">
        <f aca="false">B15-C15-D15-E15-F15</f>
        <v>0</v>
      </c>
      <c r="H15" s="10" t="n">
        <f aca="false">IFERROR(C15/(B15-F15),0)</f>
        <v>1</v>
      </c>
    </row>
    <row r="16" customFormat="false" ht="15" hidden="false" customHeight="true" outlineLevel="0" collapsed="false">
      <c r="A16" s="12" t="s">
        <v>74</v>
      </c>
      <c r="B16" s="9" t="n">
        <f aca="false">COUNTIF(Checklist!$B$2:$B$300,$A16)</f>
        <v>7</v>
      </c>
      <c r="C16" s="9" t="n">
        <f aca="false">COUNTIFS(Checklist!$B$2:$B$300,$A16,Checklist!$H$2:$H$300,"Passed")</f>
        <v>0</v>
      </c>
      <c r="D16" s="9" t="n">
        <f aca="false">COUNTIFS(Checklist!$B$2:$B$300,$A16,Checklist!$H$2:$H$300,"Failed")</f>
        <v>0</v>
      </c>
      <c r="E16" s="9" t="n">
        <f aca="false">COUNTIFS(Checklist!$B$2:$B$300,$A16,Checklist!$H$2:$H$300,"Retest")</f>
        <v>0</v>
      </c>
      <c r="F16" s="9" t="n">
        <f aca="false">COUNTIFS(Checklist!$B$2:$B$300,$A16,Checklist!$H$2:$H$300,"Skipped")</f>
        <v>0</v>
      </c>
      <c r="G16" s="9" t="n">
        <f aca="false">B16-C16-D16-E16-F16</f>
        <v>7</v>
      </c>
      <c r="H16" s="10" t="n">
        <f aca="false">IFERROR(C16/(B16-F16),0)</f>
        <v>0</v>
      </c>
    </row>
    <row r="17" customFormat="false" ht="15" hidden="false" customHeight="true" outlineLevel="0" collapsed="false">
      <c r="A17" s="14" t="s">
        <v>75</v>
      </c>
      <c r="B17" s="9" t="n">
        <f aca="false">COUNTIF(Checklist!$B$2:$B$300,$A17)</f>
        <v>16</v>
      </c>
      <c r="C17" s="9" t="n">
        <f aca="false">COUNTIFS(Checklist!$B$2:$B$300,$A17,Checklist!$H$2:$H$300,"Passed")</f>
        <v>1</v>
      </c>
      <c r="D17" s="9" t="n">
        <f aca="false">COUNTIFS(Checklist!$B$2:$B$300,$A17,Checklist!$H$2:$H$300,"Failed")</f>
        <v>0</v>
      </c>
      <c r="E17" s="9" t="n">
        <f aca="false">COUNTIFS(Checklist!$B$2:$B$300,$A17,Checklist!$H$2:$H$300,"Retest")</f>
        <v>0</v>
      </c>
      <c r="F17" s="9" t="n">
        <f aca="false">COUNTIFS(Checklist!$B$2:$B$300,$A17,Checklist!$H$2:$H$300,"Skipped")</f>
        <v>10</v>
      </c>
      <c r="G17" s="9" t="n">
        <f aca="false">B17-C17-D17-E17-F17</f>
        <v>5</v>
      </c>
      <c r="H17" s="10" t="n">
        <f aca="false">IFERROR(C17/(B17-F17),0)</f>
        <v>0.166666666666667</v>
      </c>
    </row>
    <row r="18" customFormat="false" ht="15" hidden="false" customHeight="true" outlineLevel="0" collapsed="false">
      <c r="A18" s="17" t="s">
        <v>57</v>
      </c>
      <c r="B18" s="18" t="n">
        <f aca="false">SUM(B5:B17)</f>
        <v>146</v>
      </c>
      <c r="C18" s="18" t="n">
        <f aca="false">SUM(C5:C17)</f>
        <v>105</v>
      </c>
      <c r="D18" s="18" t="n">
        <f aca="false">SUM(D5:D17)</f>
        <v>0</v>
      </c>
      <c r="E18" s="18" t="n">
        <f aca="false">SUM(E5:E17)</f>
        <v>5</v>
      </c>
      <c r="F18" s="18" t="n">
        <f aca="false">SUM(F5:F17)</f>
        <v>19</v>
      </c>
      <c r="G18" s="18" t="n">
        <f aca="false">SUM(G5:G17)</f>
        <v>17</v>
      </c>
      <c r="H18" s="19" t="n">
        <f aca="false">IFERROR(C18/(B18-F18),0)</f>
        <v>0.826771653543307</v>
      </c>
    </row>
    <row r="20" customFormat="false" ht="15" hidden="false" customHeight="true" outlineLevel="0" collapsed="false">
      <c r="A20" s="4" t="s">
        <v>76</v>
      </c>
    </row>
    <row r="21" customFormat="false" ht="15" hidden="false" customHeight="true" outlineLevel="0" collapsed="false">
      <c r="A21" s="20" t="s">
        <v>77</v>
      </c>
      <c r="B21" s="21" t="n">
        <f aca="false">COUNTIFS(Checklist!$G$2:$G$300,"High")-COUNTIFS(Checklist!$G$2:$G$300,"High",Checklist!$H$2:$H$300,"Passed")-COUNTIFS(Checklist!$G$2:$G$300,"High",Checklist!$H$2:$H$300,"Skipped")</f>
        <v>8</v>
      </c>
    </row>
    <row r="22" customFormat="false" ht="15" hidden="false" customHeight="true" outlineLevel="0" collapsed="false">
      <c r="A22" s="20" t="s">
        <v>78</v>
      </c>
      <c r="B22" s="21" t="n">
        <f aca="false">D18</f>
        <v>0</v>
      </c>
    </row>
    <row r="23" customFormat="false" ht="15" hidden="false" customHeight="true" outlineLevel="0" collapsed="false">
      <c r="A23" s="22" t="s">
        <v>79</v>
      </c>
      <c r="B23" s="23" t="str">
        <f aca="false">IF(AND(B21=0,B22=0),"READY FOR GO-LIVE","NOT READY")</f>
        <v>NOT READY</v>
      </c>
      <c r="C23" s="23"/>
      <c r="D23" s="23"/>
    </row>
    <row r="25" customFormat="false" ht="30" hidden="false" customHeight="true" outlineLevel="0" collapsed="false">
      <c r="A25" s="24" t="s">
        <v>80</v>
      </c>
      <c r="B25" s="24"/>
      <c r="C25" s="24"/>
      <c r="D25" s="24"/>
      <c r="E25" s="24"/>
      <c r="F25" s="24"/>
      <c r="G25" s="24"/>
      <c r="H25" s="24"/>
    </row>
  </sheetData>
  <mergeCells count="2">
    <mergeCell ref="B23:D23"/>
    <mergeCell ref="A25:H25"/>
  </mergeCells>
  <conditionalFormatting sqref="D5:D18">
    <cfRule type="cellIs" priority="2" operator="greaterThan" aboveAverage="0" equalAverage="0" bottom="0" percent="0" rank="0" text="" dxfId="0">
      <formula>0</formula>
    </cfRule>
  </conditionalFormatting>
  <conditionalFormatting sqref="E5:E18">
    <cfRule type="cellIs" priority="3" operator="greaterThan" aboveAverage="0" equalAverage="0" bottom="0" percent="0" rank="0" text="" dxfId="1">
      <formula>0</formula>
    </cfRule>
  </conditionalFormatting>
  <conditionalFormatting sqref="B23">
    <cfRule type="expression" priority="4" aboveAverage="0" equalAverage="0" bottom="0" percent="0" rank="0" text="" dxfId="2">
      <formula>$B$23="SẴN SÀNG GO-LIVE"</formula>
    </cfRule>
    <cfRule type="expression" priority="5" aboveAverage="0" equalAverage="0" bottom="0" percent="0" rank="0" text="" dxfId="0">
      <formula>$B$23="CHƯA SẴN SÀNG"</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7"/>
    <col collapsed="false" customWidth="true" hidden="false" outlineLevel="0" max="3" min="3" style="1" width="14"/>
    <col collapsed="false" customWidth="true" hidden="false" outlineLevel="0" max="4" min="4" style="1" width="34"/>
    <col collapsed="false" customWidth="true" hidden="false" outlineLevel="0" max="6" min="5" style="1" width="52"/>
    <col collapsed="false" customWidth="true" hidden="false" outlineLevel="0" max="7" min="7" style="1" width="9"/>
    <col collapsed="false" customWidth="true" hidden="false" outlineLevel="0" max="9" min="8" style="1" width="12"/>
    <col collapsed="false" customWidth="true" hidden="false" outlineLevel="0" max="10" min="10" style="1" width="36"/>
  </cols>
  <sheetData>
    <row r="1" customFormat="false" ht="30" hidden="false" customHeight="true" outlineLevel="0" collapsed="false">
      <c r="A1" s="25" t="s">
        <v>81</v>
      </c>
      <c r="B1" s="25" t="s">
        <v>56</v>
      </c>
      <c r="C1" s="25" t="s">
        <v>82</v>
      </c>
      <c r="D1" s="25" t="s">
        <v>83</v>
      </c>
      <c r="E1" s="25" t="s">
        <v>84</v>
      </c>
      <c r="F1" s="25" t="s">
        <v>85</v>
      </c>
      <c r="G1" s="25" t="s">
        <v>86</v>
      </c>
      <c r="H1" s="25" t="s">
        <v>5</v>
      </c>
      <c r="I1" s="25" t="s">
        <v>13</v>
      </c>
      <c r="J1" s="25" t="s">
        <v>15</v>
      </c>
    </row>
    <row r="2" customFormat="false" ht="23.25" hidden="false" customHeight="true" outlineLevel="0" collapsed="false">
      <c r="A2" s="26" t="s">
        <v>87</v>
      </c>
      <c r="B2" s="27" t="s">
        <v>63</v>
      </c>
      <c r="C2" s="28" t="s">
        <v>88</v>
      </c>
      <c r="D2" s="29" t="s">
        <v>89</v>
      </c>
      <c r="E2" s="28" t="s">
        <v>90</v>
      </c>
      <c r="F2" s="28" t="s">
        <v>91</v>
      </c>
      <c r="G2" s="30" t="s">
        <v>92</v>
      </c>
      <c r="H2" s="31" t="s">
        <v>12</v>
      </c>
      <c r="I2" s="32" t="n">
        <v>46299</v>
      </c>
      <c r="J2" s="33" t="s">
        <v>93</v>
      </c>
    </row>
    <row r="3" customFormat="false" ht="23.25" hidden="false" customHeight="true" outlineLevel="0" collapsed="false">
      <c r="A3" s="26" t="s">
        <v>94</v>
      </c>
      <c r="B3" s="27" t="s">
        <v>63</v>
      </c>
      <c r="C3" s="28" t="s">
        <v>88</v>
      </c>
      <c r="D3" s="29" t="s">
        <v>95</v>
      </c>
      <c r="E3" s="28" t="s">
        <v>96</v>
      </c>
      <c r="F3" s="28" t="s">
        <v>97</v>
      </c>
      <c r="G3" s="30" t="s">
        <v>92</v>
      </c>
      <c r="H3" s="31" t="s">
        <v>12</v>
      </c>
      <c r="I3" s="32" t="n">
        <v>46298</v>
      </c>
      <c r="J3" s="33" t="s">
        <v>98</v>
      </c>
    </row>
    <row r="4" customFormat="false" ht="23.25" hidden="false" customHeight="true" outlineLevel="0" collapsed="false">
      <c r="A4" s="26" t="s">
        <v>99</v>
      </c>
      <c r="B4" s="27" t="s">
        <v>63</v>
      </c>
      <c r="C4" s="28" t="s">
        <v>88</v>
      </c>
      <c r="D4" s="29" t="s">
        <v>100</v>
      </c>
      <c r="E4" s="28" t="s">
        <v>101</v>
      </c>
      <c r="F4" s="28" t="s">
        <v>102</v>
      </c>
      <c r="G4" s="30" t="s">
        <v>92</v>
      </c>
      <c r="H4" s="31" t="s">
        <v>12</v>
      </c>
      <c r="I4" s="32" t="n">
        <v>46298</v>
      </c>
      <c r="J4" s="33"/>
    </row>
    <row r="5" customFormat="false" ht="23.25" hidden="false" customHeight="true" outlineLevel="0" collapsed="false">
      <c r="A5" s="26" t="s">
        <v>103</v>
      </c>
      <c r="B5" s="27" t="s">
        <v>63</v>
      </c>
      <c r="C5" s="28" t="s">
        <v>88</v>
      </c>
      <c r="D5" s="29" t="s">
        <v>104</v>
      </c>
      <c r="E5" s="28" t="s">
        <v>105</v>
      </c>
      <c r="F5" s="28" t="s">
        <v>106</v>
      </c>
      <c r="G5" s="30" t="s">
        <v>92</v>
      </c>
      <c r="H5" s="31" t="s">
        <v>12</v>
      </c>
      <c r="I5" s="32" t="n">
        <v>46298</v>
      </c>
      <c r="J5" s="33" t="s">
        <v>107</v>
      </c>
    </row>
    <row r="6" customFormat="false" ht="34.5" hidden="false" customHeight="true" outlineLevel="0" collapsed="false">
      <c r="A6" s="26" t="s">
        <v>108</v>
      </c>
      <c r="B6" s="27" t="s">
        <v>63</v>
      </c>
      <c r="C6" s="28" t="s">
        <v>88</v>
      </c>
      <c r="D6" s="29" t="s">
        <v>109</v>
      </c>
      <c r="E6" s="28" t="s">
        <v>110</v>
      </c>
      <c r="F6" s="28" t="s">
        <v>111</v>
      </c>
      <c r="G6" s="30" t="s">
        <v>92</v>
      </c>
      <c r="H6" s="31" t="s">
        <v>12</v>
      </c>
      <c r="I6" s="32" t="n">
        <v>46298</v>
      </c>
      <c r="J6" s="33" t="s">
        <v>112</v>
      </c>
    </row>
    <row r="7" customFormat="false" ht="23.25" hidden="false" customHeight="true" outlineLevel="0" collapsed="false">
      <c r="A7" s="26" t="s">
        <v>113</v>
      </c>
      <c r="B7" s="27" t="s">
        <v>63</v>
      </c>
      <c r="C7" s="28" t="s">
        <v>88</v>
      </c>
      <c r="D7" s="29" t="s">
        <v>114</v>
      </c>
      <c r="E7" s="28" t="s">
        <v>115</v>
      </c>
      <c r="F7" s="28" t="s">
        <v>116</v>
      </c>
      <c r="G7" s="30" t="s">
        <v>92</v>
      </c>
      <c r="H7" s="31" t="s">
        <v>12</v>
      </c>
      <c r="I7" s="32" t="n">
        <v>46298</v>
      </c>
      <c r="J7" s="33" t="s">
        <v>117</v>
      </c>
    </row>
    <row r="8" customFormat="false" ht="34.5" hidden="false" customHeight="true" outlineLevel="0" collapsed="false">
      <c r="A8" s="26" t="s">
        <v>118</v>
      </c>
      <c r="B8" s="27" t="s">
        <v>63</v>
      </c>
      <c r="C8" s="28" t="s">
        <v>88</v>
      </c>
      <c r="D8" s="29" t="s">
        <v>119</v>
      </c>
      <c r="E8" s="28" t="s">
        <v>120</v>
      </c>
      <c r="F8" s="28" t="s">
        <v>121</v>
      </c>
      <c r="G8" s="30" t="s">
        <v>92</v>
      </c>
      <c r="H8" s="31" t="s">
        <v>60</v>
      </c>
      <c r="I8" s="32"/>
      <c r="J8" s="33" t="s">
        <v>122</v>
      </c>
    </row>
    <row r="9" customFormat="false" ht="23.25" hidden="false" customHeight="true" outlineLevel="0" collapsed="false">
      <c r="A9" s="26" t="s">
        <v>123</v>
      </c>
      <c r="B9" s="27" t="s">
        <v>63</v>
      </c>
      <c r="C9" s="28" t="s">
        <v>88</v>
      </c>
      <c r="D9" s="29" t="s">
        <v>124</v>
      </c>
      <c r="E9" s="28" t="s">
        <v>125</v>
      </c>
      <c r="F9" s="28" t="s">
        <v>126</v>
      </c>
      <c r="G9" s="30" t="s">
        <v>92</v>
      </c>
      <c r="H9" s="31" t="s">
        <v>60</v>
      </c>
      <c r="I9" s="32"/>
      <c r="J9" s="33" t="s">
        <v>127</v>
      </c>
    </row>
    <row r="10" customFormat="false" ht="15" hidden="false" customHeight="true" outlineLevel="0" collapsed="false">
      <c r="A10" s="26" t="s">
        <v>128</v>
      </c>
      <c r="B10" s="27" t="s">
        <v>63</v>
      </c>
      <c r="C10" s="28" t="s">
        <v>129</v>
      </c>
      <c r="D10" s="29" t="s">
        <v>130</v>
      </c>
      <c r="E10" s="28" t="s">
        <v>131</v>
      </c>
      <c r="F10" s="28" t="s">
        <v>132</v>
      </c>
      <c r="G10" s="30" t="s">
        <v>133</v>
      </c>
      <c r="H10" s="31" t="s">
        <v>61</v>
      </c>
      <c r="I10" s="32"/>
      <c r="J10" s="33"/>
    </row>
    <row r="11" customFormat="false" ht="23.25" hidden="false" customHeight="true" outlineLevel="0" collapsed="false">
      <c r="A11" s="26" t="s">
        <v>134</v>
      </c>
      <c r="B11" s="27" t="s">
        <v>63</v>
      </c>
      <c r="C11" s="28" t="s">
        <v>88</v>
      </c>
      <c r="D11" s="29" t="s">
        <v>135</v>
      </c>
      <c r="E11" s="28" t="s">
        <v>136</v>
      </c>
      <c r="F11" s="28" t="s">
        <v>137</v>
      </c>
      <c r="G11" s="30" t="s">
        <v>92</v>
      </c>
      <c r="H11" s="31" t="s">
        <v>60</v>
      </c>
      <c r="I11" s="32" t="n">
        <v>46298</v>
      </c>
      <c r="J11" s="33" t="s">
        <v>138</v>
      </c>
    </row>
    <row r="12" customFormat="false" ht="23.25" hidden="false" customHeight="true" outlineLevel="0" collapsed="false">
      <c r="A12" s="26" t="s">
        <v>139</v>
      </c>
      <c r="B12" s="27" t="s">
        <v>63</v>
      </c>
      <c r="C12" s="28" t="s">
        <v>140</v>
      </c>
      <c r="D12" s="29" t="s">
        <v>141</v>
      </c>
      <c r="E12" s="28" t="s">
        <v>142</v>
      </c>
      <c r="F12" s="28" t="s">
        <v>143</v>
      </c>
      <c r="G12" s="30" t="s">
        <v>144</v>
      </c>
      <c r="H12" s="31" t="s">
        <v>61</v>
      </c>
      <c r="I12" s="32"/>
      <c r="J12" s="33"/>
    </row>
    <row r="13" customFormat="false" ht="45.75" hidden="false" customHeight="true" outlineLevel="0" collapsed="false">
      <c r="A13" s="26" t="s">
        <v>145</v>
      </c>
      <c r="B13" s="34" t="s">
        <v>64</v>
      </c>
      <c r="C13" s="28" t="s">
        <v>146</v>
      </c>
      <c r="D13" s="29" t="s">
        <v>147</v>
      </c>
      <c r="E13" s="28" t="s">
        <v>148</v>
      </c>
      <c r="F13" s="28" t="s">
        <v>149</v>
      </c>
      <c r="G13" s="30" t="s">
        <v>92</v>
      </c>
      <c r="H13" s="31" t="s">
        <v>12</v>
      </c>
      <c r="I13" s="32" t="n">
        <v>46298</v>
      </c>
      <c r="J13" s="33" t="s">
        <v>150</v>
      </c>
    </row>
    <row r="14" customFormat="false" ht="23.25" hidden="false" customHeight="true" outlineLevel="0" collapsed="false">
      <c r="A14" s="26" t="s">
        <v>151</v>
      </c>
      <c r="B14" s="34" t="s">
        <v>64</v>
      </c>
      <c r="C14" s="28" t="s">
        <v>152</v>
      </c>
      <c r="D14" s="29" t="s">
        <v>153</v>
      </c>
      <c r="E14" s="28" t="s">
        <v>154</v>
      </c>
      <c r="F14" s="28" t="s">
        <v>155</v>
      </c>
      <c r="G14" s="30" t="s">
        <v>92</v>
      </c>
      <c r="H14" s="31" t="s">
        <v>12</v>
      </c>
      <c r="I14" s="32" t="n">
        <v>46298</v>
      </c>
      <c r="J14" s="33" t="s">
        <v>156</v>
      </c>
    </row>
    <row r="15" customFormat="false" ht="45.75" hidden="false" customHeight="true" outlineLevel="0" collapsed="false">
      <c r="A15" s="26" t="s">
        <v>157</v>
      </c>
      <c r="B15" s="34" t="s">
        <v>64</v>
      </c>
      <c r="C15" s="28" t="s">
        <v>129</v>
      </c>
      <c r="D15" s="29" t="s">
        <v>158</v>
      </c>
      <c r="E15" s="28" t="s">
        <v>159</v>
      </c>
      <c r="F15" s="28" t="s">
        <v>160</v>
      </c>
      <c r="G15" s="30" t="s">
        <v>92</v>
      </c>
      <c r="H15" s="31" t="s">
        <v>12</v>
      </c>
      <c r="I15" s="32" t="n">
        <v>46298</v>
      </c>
      <c r="J15" s="33" t="s">
        <v>161</v>
      </c>
    </row>
    <row r="16" customFormat="false" ht="68.25" hidden="false" customHeight="true" outlineLevel="0" collapsed="false">
      <c r="A16" s="26" t="s">
        <v>162</v>
      </c>
      <c r="B16" s="34" t="s">
        <v>64</v>
      </c>
      <c r="C16" s="28" t="s">
        <v>140</v>
      </c>
      <c r="D16" s="29" t="s">
        <v>163</v>
      </c>
      <c r="E16" s="28" t="s">
        <v>164</v>
      </c>
      <c r="F16" s="28" t="s">
        <v>165</v>
      </c>
      <c r="G16" s="30" t="s">
        <v>92</v>
      </c>
      <c r="H16" s="31" t="s">
        <v>12</v>
      </c>
      <c r="I16" s="32" t="n">
        <v>46298</v>
      </c>
      <c r="J16" s="33" t="s">
        <v>166</v>
      </c>
    </row>
    <row r="17" customFormat="false" ht="45.75" hidden="false" customHeight="true" outlineLevel="0" collapsed="false">
      <c r="A17" s="26" t="s">
        <v>167</v>
      </c>
      <c r="B17" s="34" t="s">
        <v>64</v>
      </c>
      <c r="C17" s="28" t="s">
        <v>168</v>
      </c>
      <c r="D17" s="29" t="s">
        <v>169</v>
      </c>
      <c r="E17" s="28" t="s">
        <v>170</v>
      </c>
      <c r="F17" s="28" t="s">
        <v>171</v>
      </c>
      <c r="G17" s="30" t="s">
        <v>92</v>
      </c>
      <c r="H17" s="31" t="s">
        <v>12</v>
      </c>
      <c r="I17" s="32" t="n">
        <v>46298</v>
      </c>
      <c r="J17" s="33" t="s">
        <v>172</v>
      </c>
    </row>
    <row r="18" customFormat="false" ht="15" hidden="false" customHeight="true" outlineLevel="0" collapsed="false">
      <c r="A18" s="26" t="s">
        <v>173</v>
      </c>
      <c r="B18" s="34" t="s">
        <v>64</v>
      </c>
      <c r="C18" s="28" t="s">
        <v>140</v>
      </c>
      <c r="D18" s="29" t="s">
        <v>174</v>
      </c>
      <c r="E18" s="28" t="s">
        <v>175</v>
      </c>
      <c r="F18" s="28" t="s">
        <v>176</v>
      </c>
      <c r="G18" s="30" t="s">
        <v>92</v>
      </c>
      <c r="H18" s="31" t="s">
        <v>12</v>
      </c>
      <c r="I18" s="32" t="n">
        <v>46298</v>
      </c>
      <c r="J18" s="33" t="s">
        <v>177</v>
      </c>
    </row>
    <row r="19" customFormat="false" ht="34.5" hidden="false" customHeight="true" outlineLevel="0" collapsed="false">
      <c r="A19" s="26" t="s">
        <v>178</v>
      </c>
      <c r="B19" s="34" t="s">
        <v>64</v>
      </c>
      <c r="C19" s="28" t="s">
        <v>146</v>
      </c>
      <c r="D19" s="29" t="s">
        <v>179</v>
      </c>
      <c r="E19" s="28" t="s">
        <v>180</v>
      </c>
      <c r="F19" s="28" t="s">
        <v>181</v>
      </c>
      <c r="G19" s="30" t="s">
        <v>92</v>
      </c>
      <c r="H19" s="31" t="s">
        <v>12</v>
      </c>
      <c r="I19" s="32" t="n">
        <v>46298</v>
      </c>
      <c r="J19" s="33" t="s">
        <v>177</v>
      </c>
    </row>
    <row r="20" customFormat="false" ht="15" hidden="false" customHeight="true" outlineLevel="0" collapsed="false">
      <c r="A20" s="26" t="s">
        <v>182</v>
      </c>
      <c r="B20" s="34" t="s">
        <v>64</v>
      </c>
      <c r="C20" s="28" t="s">
        <v>183</v>
      </c>
      <c r="D20" s="29" t="s">
        <v>184</v>
      </c>
      <c r="E20" s="28" t="s">
        <v>185</v>
      </c>
      <c r="F20" s="28" t="s">
        <v>186</v>
      </c>
      <c r="G20" s="30" t="s">
        <v>92</v>
      </c>
      <c r="H20" s="31" t="s">
        <v>12</v>
      </c>
      <c r="I20" s="32" t="n">
        <v>46298</v>
      </c>
      <c r="J20" s="33" t="s">
        <v>187</v>
      </c>
    </row>
    <row r="21" customFormat="false" ht="23.25" hidden="false" customHeight="true" outlineLevel="0" collapsed="false">
      <c r="A21" s="26" t="s">
        <v>188</v>
      </c>
      <c r="B21" s="34" t="s">
        <v>64</v>
      </c>
      <c r="C21" s="28" t="s">
        <v>140</v>
      </c>
      <c r="D21" s="29" t="s">
        <v>189</v>
      </c>
      <c r="E21" s="28" t="s">
        <v>190</v>
      </c>
      <c r="F21" s="28" t="s">
        <v>191</v>
      </c>
      <c r="G21" s="30" t="s">
        <v>92</v>
      </c>
      <c r="H21" s="31" t="s">
        <v>12</v>
      </c>
      <c r="I21" s="32" t="n">
        <v>46298</v>
      </c>
      <c r="J21" s="33" t="s">
        <v>177</v>
      </c>
    </row>
    <row r="22" customFormat="false" ht="23.25" hidden="false" customHeight="true" outlineLevel="0" collapsed="false">
      <c r="A22" s="26" t="s">
        <v>192</v>
      </c>
      <c r="B22" s="34" t="s">
        <v>64</v>
      </c>
      <c r="C22" s="28" t="s">
        <v>146</v>
      </c>
      <c r="D22" s="29" t="s">
        <v>193</v>
      </c>
      <c r="E22" s="28" t="s">
        <v>194</v>
      </c>
      <c r="F22" s="28" t="s">
        <v>195</v>
      </c>
      <c r="G22" s="30" t="s">
        <v>92</v>
      </c>
      <c r="H22" s="31" t="s">
        <v>12</v>
      </c>
      <c r="I22" s="32" t="n">
        <v>46298</v>
      </c>
      <c r="J22" s="33" t="s">
        <v>177</v>
      </c>
    </row>
    <row r="23" customFormat="false" ht="34.5" hidden="false" customHeight="true" outlineLevel="0" collapsed="false">
      <c r="A23" s="26" t="s">
        <v>196</v>
      </c>
      <c r="B23" s="34" t="s">
        <v>64</v>
      </c>
      <c r="C23" s="28" t="s">
        <v>183</v>
      </c>
      <c r="D23" s="29" t="s">
        <v>197</v>
      </c>
      <c r="E23" s="28" t="s">
        <v>198</v>
      </c>
      <c r="F23" s="28" t="s">
        <v>199</v>
      </c>
      <c r="G23" s="30" t="s">
        <v>92</v>
      </c>
      <c r="H23" s="31" t="s">
        <v>12</v>
      </c>
      <c r="I23" s="32" t="n">
        <v>46298</v>
      </c>
      <c r="J23" s="33" t="s">
        <v>200</v>
      </c>
    </row>
    <row r="24" customFormat="false" ht="15" hidden="false" customHeight="true" outlineLevel="0" collapsed="false">
      <c r="A24" s="26" t="s">
        <v>201</v>
      </c>
      <c r="B24" s="34" t="s">
        <v>64</v>
      </c>
      <c r="C24" s="28" t="s">
        <v>183</v>
      </c>
      <c r="D24" s="29" t="s">
        <v>202</v>
      </c>
      <c r="E24" s="28" t="s">
        <v>203</v>
      </c>
      <c r="F24" s="28" t="s">
        <v>204</v>
      </c>
      <c r="G24" s="30" t="s">
        <v>133</v>
      </c>
      <c r="H24" s="31" t="s">
        <v>12</v>
      </c>
      <c r="I24" s="32" t="n">
        <v>46298</v>
      </c>
      <c r="J24" s="33" t="s">
        <v>177</v>
      </c>
    </row>
    <row r="25" customFormat="false" ht="34.5" hidden="false" customHeight="true" outlineLevel="0" collapsed="false">
      <c r="A25" s="26" t="s">
        <v>205</v>
      </c>
      <c r="B25" s="34" t="s">
        <v>64</v>
      </c>
      <c r="C25" s="28" t="s">
        <v>168</v>
      </c>
      <c r="D25" s="29" t="s">
        <v>206</v>
      </c>
      <c r="E25" s="28" t="s">
        <v>207</v>
      </c>
      <c r="F25" s="28" t="s">
        <v>208</v>
      </c>
      <c r="G25" s="30" t="s">
        <v>92</v>
      </c>
      <c r="H25" s="31" t="s">
        <v>12</v>
      </c>
      <c r="I25" s="32" t="n">
        <v>46298</v>
      </c>
      <c r="J25" s="33" t="s">
        <v>209</v>
      </c>
    </row>
    <row r="26" customFormat="false" ht="23.25" hidden="false" customHeight="true" outlineLevel="0" collapsed="false">
      <c r="A26" s="26" t="s">
        <v>210</v>
      </c>
      <c r="B26" s="34" t="s">
        <v>64</v>
      </c>
      <c r="C26" s="28" t="s">
        <v>168</v>
      </c>
      <c r="D26" s="29" t="s">
        <v>211</v>
      </c>
      <c r="E26" s="28" t="s">
        <v>212</v>
      </c>
      <c r="F26" s="28" t="s">
        <v>213</v>
      </c>
      <c r="G26" s="30" t="s">
        <v>92</v>
      </c>
      <c r="H26" s="31" t="s">
        <v>12</v>
      </c>
      <c r="I26" s="32" t="n">
        <v>46298</v>
      </c>
      <c r="J26" s="33" t="s">
        <v>214</v>
      </c>
    </row>
    <row r="27" customFormat="false" ht="23.25" hidden="false" customHeight="true" outlineLevel="0" collapsed="false">
      <c r="A27" s="26" t="s">
        <v>215</v>
      </c>
      <c r="B27" s="34" t="s">
        <v>64</v>
      </c>
      <c r="C27" s="28" t="s">
        <v>168</v>
      </c>
      <c r="D27" s="29" t="s">
        <v>216</v>
      </c>
      <c r="E27" s="28" t="s">
        <v>217</v>
      </c>
      <c r="F27" s="28" t="s">
        <v>218</v>
      </c>
      <c r="G27" s="30" t="s">
        <v>133</v>
      </c>
      <c r="H27" s="31" t="s">
        <v>12</v>
      </c>
      <c r="I27" s="32" t="n">
        <v>46299</v>
      </c>
      <c r="J27" s="33" t="s">
        <v>219</v>
      </c>
    </row>
    <row r="28" customFormat="false" ht="34.5" hidden="false" customHeight="true" outlineLevel="0" collapsed="false">
      <c r="A28" s="26" t="s">
        <v>220</v>
      </c>
      <c r="B28" s="34" t="s">
        <v>64</v>
      </c>
      <c r="C28" s="28" t="s">
        <v>168</v>
      </c>
      <c r="D28" s="29" t="s">
        <v>221</v>
      </c>
      <c r="E28" s="28" t="s">
        <v>222</v>
      </c>
      <c r="F28" s="28" t="s">
        <v>223</v>
      </c>
      <c r="G28" s="30" t="s">
        <v>133</v>
      </c>
      <c r="H28" s="31" t="s">
        <v>60</v>
      </c>
      <c r="I28" s="32"/>
      <c r="J28" s="33" t="s">
        <v>224</v>
      </c>
    </row>
    <row r="29" customFormat="false" ht="23.25" hidden="false" customHeight="true" outlineLevel="0" collapsed="false">
      <c r="A29" s="26" t="s">
        <v>225</v>
      </c>
      <c r="B29" s="34" t="s">
        <v>64</v>
      </c>
      <c r="C29" s="28" t="s">
        <v>183</v>
      </c>
      <c r="D29" s="29" t="s">
        <v>226</v>
      </c>
      <c r="E29" s="28" t="s">
        <v>227</v>
      </c>
      <c r="F29" s="28" t="s">
        <v>228</v>
      </c>
      <c r="G29" s="30" t="s">
        <v>133</v>
      </c>
      <c r="H29" s="31" t="s">
        <v>12</v>
      </c>
      <c r="I29" s="32" t="n">
        <v>46298</v>
      </c>
      <c r="J29" s="33" t="s">
        <v>229</v>
      </c>
    </row>
    <row r="30" customFormat="false" ht="23.25" hidden="false" customHeight="true" outlineLevel="0" collapsed="false">
      <c r="A30" s="26" t="s">
        <v>230</v>
      </c>
      <c r="B30" s="34" t="s">
        <v>64</v>
      </c>
      <c r="C30" s="28" t="s">
        <v>168</v>
      </c>
      <c r="D30" s="29" t="s">
        <v>231</v>
      </c>
      <c r="E30" s="28" t="s">
        <v>232</v>
      </c>
      <c r="F30" s="28" t="s">
        <v>233</v>
      </c>
      <c r="G30" s="30" t="s">
        <v>133</v>
      </c>
      <c r="H30" s="31" t="s">
        <v>12</v>
      </c>
      <c r="I30" s="32" t="n">
        <v>46298</v>
      </c>
      <c r="J30" s="33" t="s">
        <v>177</v>
      </c>
    </row>
    <row r="31" customFormat="false" ht="68.25" hidden="false" customHeight="true" outlineLevel="0" collapsed="false">
      <c r="A31" s="26" t="s">
        <v>234</v>
      </c>
      <c r="B31" s="34" t="s">
        <v>64</v>
      </c>
      <c r="C31" s="28" t="s">
        <v>168</v>
      </c>
      <c r="D31" s="29" t="s">
        <v>235</v>
      </c>
      <c r="E31" s="28" t="s">
        <v>236</v>
      </c>
      <c r="F31" s="28" t="s">
        <v>237</v>
      </c>
      <c r="G31" s="30" t="s">
        <v>92</v>
      </c>
      <c r="H31" s="31" t="s">
        <v>12</v>
      </c>
      <c r="I31" s="32" t="n">
        <v>46298</v>
      </c>
      <c r="J31" s="33" t="s">
        <v>238</v>
      </c>
    </row>
    <row r="32" customFormat="false" ht="34.5" hidden="false" customHeight="true" outlineLevel="0" collapsed="false">
      <c r="A32" s="26" t="s">
        <v>239</v>
      </c>
      <c r="B32" s="34" t="s">
        <v>64</v>
      </c>
      <c r="C32" s="28" t="s">
        <v>140</v>
      </c>
      <c r="D32" s="29" t="s">
        <v>240</v>
      </c>
      <c r="E32" s="28" t="s">
        <v>241</v>
      </c>
      <c r="F32" s="28" t="s">
        <v>242</v>
      </c>
      <c r="G32" s="30" t="s">
        <v>92</v>
      </c>
      <c r="H32" s="31" t="s">
        <v>12</v>
      </c>
      <c r="I32" s="32" t="n">
        <v>46298</v>
      </c>
      <c r="J32" s="33" t="s">
        <v>243</v>
      </c>
    </row>
    <row r="33" customFormat="false" ht="34.5" hidden="false" customHeight="true" outlineLevel="0" collapsed="false">
      <c r="A33" s="26" t="s">
        <v>244</v>
      </c>
      <c r="B33" s="34" t="s">
        <v>64</v>
      </c>
      <c r="C33" s="28" t="s">
        <v>168</v>
      </c>
      <c r="D33" s="29" t="s">
        <v>245</v>
      </c>
      <c r="E33" s="28" t="s">
        <v>246</v>
      </c>
      <c r="F33" s="28" t="s">
        <v>247</v>
      </c>
      <c r="G33" s="30" t="s">
        <v>92</v>
      </c>
      <c r="H33" s="31" t="s">
        <v>59</v>
      </c>
      <c r="I33" s="32"/>
      <c r="J33" s="33" t="s">
        <v>248</v>
      </c>
    </row>
    <row r="34" customFormat="false" ht="23.25" hidden="false" customHeight="true" outlineLevel="0" collapsed="false">
      <c r="A34" s="26" t="s">
        <v>249</v>
      </c>
      <c r="B34" s="34" t="s">
        <v>64</v>
      </c>
      <c r="C34" s="28" t="s">
        <v>168</v>
      </c>
      <c r="D34" s="29" t="s">
        <v>250</v>
      </c>
      <c r="E34" s="28" t="s">
        <v>251</v>
      </c>
      <c r="F34" s="28" t="s">
        <v>252</v>
      </c>
      <c r="G34" s="30" t="s">
        <v>92</v>
      </c>
      <c r="H34" s="31" t="s">
        <v>59</v>
      </c>
      <c r="I34" s="32"/>
      <c r="J34" s="33" t="s">
        <v>253</v>
      </c>
    </row>
    <row r="35" customFormat="false" ht="23.25" hidden="false" customHeight="true" outlineLevel="0" collapsed="false">
      <c r="A35" s="26" t="s">
        <v>254</v>
      </c>
      <c r="B35" s="34" t="s">
        <v>64</v>
      </c>
      <c r="C35" s="28" t="s">
        <v>168</v>
      </c>
      <c r="D35" s="29" t="s">
        <v>255</v>
      </c>
      <c r="E35" s="28" t="s">
        <v>256</v>
      </c>
      <c r="F35" s="28" t="s">
        <v>257</v>
      </c>
      <c r="G35" s="30" t="s">
        <v>92</v>
      </c>
      <c r="H35" s="31" t="s">
        <v>12</v>
      </c>
      <c r="I35" s="32" t="n">
        <v>46298</v>
      </c>
      <c r="J35" s="33" t="s">
        <v>258</v>
      </c>
    </row>
    <row r="36" customFormat="false" ht="45.75" hidden="false" customHeight="true" outlineLevel="0" collapsed="false">
      <c r="A36" s="26" t="s">
        <v>259</v>
      </c>
      <c r="B36" s="34" t="s">
        <v>64</v>
      </c>
      <c r="C36" s="28" t="s">
        <v>129</v>
      </c>
      <c r="D36" s="29" t="s">
        <v>260</v>
      </c>
      <c r="E36" s="28" t="s">
        <v>261</v>
      </c>
      <c r="F36" s="28" t="s">
        <v>262</v>
      </c>
      <c r="G36" s="30" t="s">
        <v>92</v>
      </c>
      <c r="H36" s="31" t="s">
        <v>12</v>
      </c>
      <c r="I36" s="32" t="n">
        <v>46298</v>
      </c>
      <c r="J36" s="33" t="s">
        <v>263</v>
      </c>
    </row>
    <row r="37" customFormat="false" ht="45.75" hidden="false" customHeight="true" outlineLevel="0" collapsed="false">
      <c r="A37" s="26" t="s">
        <v>264</v>
      </c>
      <c r="B37" s="34" t="s">
        <v>64</v>
      </c>
      <c r="C37" s="28" t="s">
        <v>140</v>
      </c>
      <c r="D37" s="29" t="s">
        <v>265</v>
      </c>
      <c r="E37" s="28" t="s">
        <v>266</v>
      </c>
      <c r="F37" s="28" t="s">
        <v>267</v>
      </c>
      <c r="G37" s="30" t="s">
        <v>133</v>
      </c>
      <c r="H37" s="31" t="s">
        <v>12</v>
      </c>
      <c r="I37" s="32" t="n">
        <v>46298</v>
      </c>
      <c r="J37" s="33" t="s">
        <v>268</v>
      </c>
    </row>
    <row r="38" customFormat="false" ht="45.75" hidden="false" customHeight="true" outlineLevel="0" collapsed="false">
      <c r="A38" s="26" t="s">
        <v>269</v>
      </c>
      <c r="B38" s="34" t="s">
        <v>64</v>
      </c>
      <c r="C38" s="28" t="s">
        <v>168</v>
      </c>
      <c r="D38" s="29" t="s">
        <v>270</v>
      </c>
      <c r="E38" s="28" t="s">
        <v>271</v>
      </c>
      <c r="F38" s="28" t="s">
        <v>272</v>
      </c>
      <c r="G38" s="30" t="s">
        <v>92</v>
      </c>
      <c r="H38" s="31" t="s">
        <v>59</v>
      </c>
      <c r="I38" s="32"/>
      <c r="J38" s="33" t="s">
        <v>273</v>
      </c>
    </row>
    <row r="39" customFormat="false" ht="34.5" hidden="false" customHeight="true" outlineLevel="0" collapsed="false">
      <c r="A39" s="26" t="s">
        <v>274</v>
      </c>
      <c r="B39" s="34" t="s">
        <v>64</v>
      </c>
      <c r="C39" s="28" t="s">
        <v>140</v>
      </c>
      <c r="D39" s="29" t="s">
        <v>275</v>
      </c>
      <c r="E39" s="28" t="s">
        <v>276</v>
      </c>
      <c r="F39" s="28" t="s">
        <v>277</v>
      </c>
      <c r="G39" s="30" t="s">
        <v>92</v>
      </c>
      <c r="H39" s="31" t="s">
        <v>12</v>
      </c>
      <c r="I39" s="32" t="n">
        <v>46298</v>
      </c>
      <c r="J39" s="33" t="s">
        <v>278</v>
      </c>
    </row>
    <row r="40" customFormat="false" ht="45.75" hidden="false" customHeight="true" outlineLevel="0" collapsed="false">
      <c r="A40" s="26" t="s">
        <v>279</v>
      </c>
      <c r="B40" s="34" t="s">
        <v>64</v>
      </c>
      <c r="C40" s="28" t="s">
        <v>280</v>
      </c>
      <c r="D40" s="29" t="s">
        <v>281</v>
      </c>
      <c r="E40" s="28" t="s">
        <v>282</v>
      </c>
      <c r="F40" s="28" t="s">
        <v>283</v>
      </c>
      <c r="G40" s="30" t="s">
        <v>92</v>
      </c>
      <c r="H40" s="31" t="s">
        <v>60</v>
      </c>
      <c r="I40" s="32"/>
      <c r="J40" s="33" t="s">
        <v>284</v>
      </c>
    </row>
    <row r="41" customFormat="false" ht="34.5" hidden="false" customHeight="true" outlineLevel="0" collapsed="false">
      <c r="A41" s="26" t="s">
        <v>285</v>
      </c>
      <c r="B41" s="34" t="s">
        <v>64</v>
      </c>
      <c r="C41" s="28" t="s">
        <v>168</v>
      </c>
      <c r="D41" s="29" t="s">
        <v>286</v>
      </c>
      <c r="E41" s="28" t="s">
        <v>287</v>
      </c>
      <c r="F41" s="28" t="s">
        <v>288</v>
      </c>
      <c r="G41" s="30" t="s">
        <v>92</v>
      </c>
      <c r="H41" s="31" t="s">
        <v>12</v>
      </c>
      <c r="I41" s="32" t="n">
        <v>46298</v>
      </c>
      <c r="J41" s="33" t="s">
        <v>289</v>
      </c>
    </row>
    <row r="42" customFormat="false" ht="23.25" hidden="false" customHeight="true" outlineLevel="0" collapsed="false">
      <c r="A42" s="26" t="s">
        <v>290</v>
      </c>
      <c r="B42" s="35" t="s">
        <v>65</v>
      </c>
      <c r="C42" s="28" t="s">
        <v>168</v>
      </c>
      <c r="D42" s="29" t="s">
        <v>291</v>
      </c>
      <c r="E42" s="28" t="s">
        <v>292</v>
      </c>
      <c r="F42" s="28" t="s">
        <v>293</v>
      </c>
      <c r="G42" s="30" t="s">
        <v>92</v>
      </c>
      <c r="H42" s="31" t="s">
        <v>12</v>
      </c>
      <c r="I42" s="32" t="n">
        <v>46298</v>
      </c>
      <c r="J42" s="33" t="s">
        <v>294</v>
      </c>
    </row>
    <row r="43" customFormat="false" ht="23.25" hidden="false" customHeight="true" outlineLevel="0" collapsed="false">
      <c r="A43" s="26" t="s">
        <v>295</v>
      </c>
      <c r="B43" s="35" t="s">
        <v>65</v>
      </c>
      <c r="C43" s="28" t="s">
        <v>168</v>
      </c>
      <c r="D43" s="29" t="s">
        <v>296</v>
      </c>
      <c r="E43" s="28" t="s">
        <v>297</v>
      </c>
      <c r="F43" s="28" t="s">
        <v>298</v>
      </c>
      <c r="G43" s="30" t="s">
        <v>92</v>
      </c>
      <c r="H43" s="31" t="s">
        <v>12</v>
      </c>
      <c r="I43" s="32" t="n">
        <v>46298</v>
      </c>
      <c r="J43" s="33" t="s">
        <v>177</v>
      </c>
    </row>
    <row r="44" customFormat="false" ht="23.25" hidden="false" customHeight="true" outlineLevel="0" collapsed="false">
      <c r="A44" s="26" t="s">
        <v>299</v>
      </c>
      <c r="B44" s="35" t="s">
        <v>65</v>
      </c>
      <c r="C44" s="28" t="s">
        <v>168</v>
      </c>
      <c r="D44" s="29" t="s">
        <v>300</v>
      </c>
      <c r="E44" s="28" t="s">
        <v>301</v>
      </c>
      <c r="F44" s="28" t="s">
        <v>302</v>
      </c>
      <c r="G44" s="30" t="s">
        <v>92</v>
      </c>
      <c r="H44" s="31" t="s">
        <v>12</v>
      </c>
      <c r="I44" s="32" t="n">
        <v>46298</v>
      </c>
      <c r="J44" s="33" t="s">
        <v>177</v>
      </c>
    </row>
    <row r="45" customFormat="false" ht="45.75" hidden="false" customHeight="true" outlineLevel="0" collapsed="false">
      <c r="A45" s="26" t="s">
        <v>303</v>
      </c>
      <c r="B45" s="35" t="s">
        <v>65</v>
      </c>
      <c r="C45" s="28" t="s">
        <v>129</v>
      </c>
      <c r="D45" s="29" t="s">
        <v>304</v>
      </c>
      <c r="E45" s="28" t="s">
        <v>305</v>
      </c>
      <c r="F45" s="28" t="s">
        <v>306</v>
      </c>
      <c r="G45" s="30" t="s">
        <v>92</v>
      </c>
      <c r="H45" s="31" t="s">
        <v>12</v>
      </c>
      <c r="I45" s="32" t="n">
        <v>46298</v>
      </c>
      <c r="J45" s="33" t="s">
        <v>307</v>
      </c>
    </row>
    <row r="46" customFormat="false" ht="23.25" hidden="false" customHeight="true" outlineLevel="0" collapsed="false">
      <c r="A46" s="26" t="s">
        <v>308</v>
      </c>
      <c r="B46" s="35" t="s">
        <v>65</v>
      </c>
      <c r="C46" s="28" t="s">
        <v>168</v>
      </c>
      <c r="D46" s="29" t="s">
        <v>309</v>
      </c>
      <c r="E46" s="28" t="s">
        <v>310</v>
      </c>
      <c r="F46" s="28" t="s">
        <v>311</v>
      </c>
      <c r="G46" s="30" t="s">
        <v>92</v>
      </c>
      <c r="H46" s="31" t="s">
        <v>12</v>
      </c>
      <c r="I46" s="32" t="n">
        <v>46298</v>
      </c>
      <c r="J46" s="33" t="s">
        <v>177</v>
      </c>
    </row>
    <row r="47" customFormat="false" ht="15" hidden="false" customHeight="true" outlineLevel="0" collapsed="false">
      <c r="A47" s="26" t="s">
        <v>312</v>
      </c>
      <c r="B47" s="35" t="s">
        <v>65</v>
      </c>
      <c r="C47" s="28" t="s">
        <v>168</v>
      </c>
      <c r="D47" s="29" t="s">
        <v>313</v>
      </c>
      <c r="E47" s="28" t="s">
        <v>314</v>
      </c>
      <c r="F47" s="28" t="s">
        <v>315</v>
      </c>
      <c r="G47" s="30" t="s">
        <v>92</v>
      </c>
      <c r="H47" s="31" t="s">
        <v>12</v>
      </c>
      <c r="I47" s="32" t="n">
        <v>46298</v>
      </c>
      <c r="J47" s="33" t="s">
        <v>177</v>
      </c>
    </row>
    <row r="48" customFormat="false" ht="23.25" hidden="false" customHeight="true" outlineLevel="0" collapsed="false">
      <c r="A48" s="26" t="s">
        <v>316</v>
      </c>
      <c r="B48" s="35" t="s">
        <v>65</v>
      </c>
      <c r="C48" s="28" t="s">
        <v>140</v>
      </c>
      <c r="D48" s="29" t="s">
        <v>317</v>
      </c>
      <c r="E48" s="28" t="s">
        <v>318</v>
      </c>
      <c r="F48" s="28" t="s">
        <v>319</v>
      </c>
      <c r="G48" s="30" t="s">
        <v>133</v>
      </c>
      <c r="H48" s="31" t="s">
        <v>12</v>
      </c>
      <c r="I48" s="32" t="n">
        <v>46298</v>
      </c>
      <c r="J48" s="33" t="s">
        <v>320</v>
      </c>
    </row>
    <row r="49" customFormat="false" ht="23.25" hidden="false" customHeight="true" outlineLevel="0" collapsed="false">
      <c r="A49" s="26" t="s">
        <v>321</v>
      </c>
      <c r="B49" s="35" t="s">
        <v>65</v>
      </c>
      <c r="C49" s="28" t="s">
        <v>140</v>
      </c>
      <c r="D49" s="29" t="s">
        <v>322</v>
      </c>
      <c r="E49" s="28" t="s">
        <v>323</v>
      </c>
      <c r="F49" s="28" t="s">
        <v>324</v>
      </c>
      <c r="G49" s="30" t="s">
        <v>133</v>
      </c>
      <c r="H49" s="31" t="s">
        <v>59</v>
      </c>
      <c r="I49" s="32"/>
      <c r="J49" s="33" t="s">
        <v>325</v>
      </c>
    </row>
    <row r="50" customFormat="false" ht="15" hidden="false" customHeight="true" outlineLevel="0" collapsed="false">
      <c r="A50" s="26" t="s">
        <v>326</v>
      </c>
      <c r="B50" s="35" t="s">
        <v>65</v>
      </c>
      <c r="C50" s="28" t="s">
        <v>140</v>
      </c>
      <c r="D50" s="29" t="s">
        <v>327</v>
      </c>
      <c r="E50" s="28" t="s">
        <v>328</v>
      </c>
      <c r="F50" s="28" t="s">
        <v>329</v>
      </c>
      <c r="G50" s="30" t="s">
        <v>133</v>
      </c>
      <c r="H50" s="31" t="s">
        <v>12</v>
      </c>
      <c r="I50" s="32" t="n">
        <v>46298</v>
      </c>
      <c r="J50" s="33" t="s">
        <v>177</v>
      </c>
    </row>
    <row r="51" customFormat="false" ht="45.75" hidden="false" customHeight="true" outlineLevel="0" collapsed="false">
      <c r="A51" s="26" t="s">
        <v>330</v>
      </c>
      <c r="B51" s="35" t="s">
        <v>65</v>
      </c>
      <c r="C51" s="28" t="s">
        <v>331</v>
      </c>
      <c r="D51" s="29" t="s">
        <v>332</v>
      </c>
      <c r="E51" s="28" t="s">
        <v>333</v>
      </c>
      <c r="F51" s="28" t="s">
        <v>334</v>
      </c>
      <c r="G51" s="30" t="s">
        <v>92</v>
      </c>
      <c r="H51" s="31" t="s">
        <v>12</v>
      </c>
      <c r="I51" s="32" t="n">
        <v>46298</v>
      </c>
      <c r="J51" s="33" t="s">
        <v>335</v>
      </c>
    </row>
    <row r="52" customFormat="false" ht="23.25" hidden="false" customHeight="true" outlineLevel="0" collapsed="false">
      <c r="A52" s="26" t="s">
        <v>336</v>
      </c>
      <c r="B52" s="35" t="s">
        <v>65</v>
      </c>
      <c r="C52" s="28" t="s">
        <v>168</v>
      </c>
      <c r="D52" s="29" t="s">
        <v>337</v>
      </c>
      <c r="E52" s="28" t="s">
        <v>338</v>
      </c>
      <c r="F52" s="28" t="s">
        <v>339</v>
      </c>
      <c r="G52" s="30" t="s">
        <v>133</v>
      </c>
      <c r="H52" s="31" t="s">
        <v>12</v>
      </c>
      <c r="I52" s="32" t="n">
        <v>46298</v>
      </c>
      <c r="J52" s="33" t="s">
        <v>340</v>
      </c>
    </row>
    <row r="53" customFormat="false" ht="23.25" hidden="false" customHeight="true" outlineLevel="0" collapsed="false">
      <c r="A53" s="26" t="s">
        <v>341</v>
      </c>
      <c r="B53" s="36" t="s">
        <v>66</v>
      </c>
      <c r="C53" s="28" t="s">
        <v>168</v>
      </c>
      <c r="D53" s="29" t="s">
        <v>342</v>
      </c>
      <c r="E53" s="28" t="s">
        <v>343</v>
      </c>
      <c r="F53" s="28" t="s">
        <v>344</v>
      </c>
      <c r="G53" s="30" t="s">
        <v>92</v>
      </c>
      <c r="H53" s="31" t="s">
        <v>12</v>
      </c>
      <c r="I53" s="32" t="n">
        <v>46298</v>
      </c>
      <c r="J53" s="33" t="s">
        <v>345</v>
      </c>
    </row>
    <row r="54" customFormat="false" ht="23.25" hidden="false" customHeight="true" outlineLevel="0" collapsed="false">
      <c r="A54" s="26" t="s">
        <v>346</v>
      </c>
      <c r="B54" s="36" t="s">
        <v>66</v>
      </c>
      <c r="C54" s="28" t="s">
        <v>168</v>
      </c>
      <c r="D54" s="29" t="s">
        <v>347</v>
      </c>
      <c r="E54" s="28" t="s">
        <v>348</v>
      </c>
      <c r="F54" s="28" t="s">
        <v>349</v>
      </c>
      <c r="G54" s="30" t="s">
        <v>133</v>
      </c>
      <c r="H54" s="31" t="s">
        <v>12</v>
      </c>
      <c r="I54" s="32" t="n">
        <v>46298</v>
      </c>
      <c r="J54" s="33" t="s">
        <v>177</v>
      </c>
    </row>
    <row r="55" customFormat="false" ht="34.5" hidden="false" customHeight="true" outlineLevel="0" collapsed="false">
      <c r="A55" s="26" t="s">
        <v>350</v>
      </c>
      <c r="B55" s="36" t="s">
        <v>66</v>
      </c>
      <c r="C55" s="28" t="s">
        <v>129</v>
      </c>
      <c r="D55" s="29" t="s">
        <v>46</v>
      </c>
      <c r="E55" s="28" t="s">
        <v>351</v>
      </c>
      <c r="F55" s="28" t="s">
        <v>352</v>
      </c>
      <c r="G55" s="30" t="s">
        <v>92</v>
      </c>
      <c r="H55" s="31" t="s">
        <v>12</v>
      </c>
      <c r="I55" s="32" t="n">
        <v>46298</v>
      </c>
      <c r="J55" s="33" t="s">
        <v>177</v>
      </c>
    </row>
    <row r="56" customFormat="false" ht="15" hidden="false" customHeight="true" outlineLevel="0" collapsed="false">
      <c r="A56" s="26" t="s">
        <v>353</v>
      </c>
      <c r="B56" s="36" t="s">
        <v>66</v>
      </c>
      <c r="C56" s="28" t="s">
        <v>168</v>
      </c>
      <c r="D56" s="29" t="s">
        <v>354</v>
      </c>
      <c r="E56" s="28" t="s">
        <v>355</v>
      </c>
      <c r="F56" s="28" t="s">
        <v>356</v>
      </c>
      <c r="G56" s="30" t="s">
        <v>92</v>
      </c>
      <c r="H56" s="31" t="s">
        <v>12</v>
      </c>
      <c r="I56" s="32" t="n">
        <v>46298</v>
      </c>
      <c r="J56" s="33" t="s">
        <v>177</v>
      </c>
    </row>
    <row r="57" customFormat="false" ht="23.25" hidden="false" customHeight="true" outlineLevel="0" collapsed="false">
      <c r="A57" s="26" t="s">
        <v>357</v>
      </c>
      <c r="B57" s="36" t="s">
        <v>66</v>
      </c>
      <c r="C57" s="28" t="s">
        <v>168</v>
      </c>
      <c r="D57" s="29" t="s">
        <v>358</v>
      </c>
      <c r="E57" s="28" t="s">
        <v>359</v>
      </c>
      <c r="F57" s="28" t="s">
        <v>360</v>
      </c>
      <c r="G57" s="30" t="s">
        <v>133</v>
      </c>
      <c r="H57" s="31" t="s">
        <v>12</v>
      </c>
      <c r="I57" s="32" t="n">
        <v>46298</v>
      </c>
      <c r="J57" s="33" t="s">
        <v>177</v>
      </c>
    </row>
    <row r="58" customFormat="false" ht="23.25" hidden="false" customHeight="true" outlineLevel="0" collapsed="false">
      <c r="A58" s="26" t="s">
        <v>361</v>
      </c>
      <c r="B58" s="36" t="s">
        <v>66</v>
      </c>
      <c r="C58" s="28" t="s">
        <v>168</v>
      </c>
      <c r="D58" s="29" t="s">
        <v>362</v>
      </c>
      <c r="E58" s="28" t="s">
        <v>363</v>
      </c>
      <c r="F58" s="28" t="s">
        <v>364</v>
      </c>
      <c r="G58" s="30" t="s">
        <v>133</v>
      </c>
      <c r="H58" s="31" t="s">
        <v>61</v>
      </c>
      <c r="I58" s="32"/>
      <c r="J58" s="33" t="s">
        <v>365</v>
      </c>
    </row>
    <row r="59" customFormat="false" ht="34.5" hidden="false" customHeight="true" outlineLevel="0" collapsed="false">
      <c r="A59" s="26" t="s">
        <v>366</v>
      </c>
      <c r="B59" s="36" t="s">
        <v>66</v>
      </c>
      <c r="C59" s="28" t="s">
        <v>168</v>
      </c>
      <c r="D59" s="29" t="s">
        <v>367</v>
      </c>
      <c r="E59" s="28" t="s">
        <v>368</v>
      </c>
      <c r="F59" s="28" t="s">
        <v>369</v>
      </c>
      <c r="G59" s="30" t="s">
        <v>133</v>
      </c>
      <c r="H59" s="31" t="s">
        <v>12</v>
      </c>
      <c r="I59" s="32" t="n">
        <v>46298</v>
      </c>
      <c r="J59" s="33" t="s">
        <v>370</v>
      </c>
    </row>
    <row r="60" customFormat="false" ht="23.25" hidden="false" customHeight="true" outlineLevel="0" collapsed="false">
      <c r="A60" s="26" t="s">
        <v>371</v>
      </c>
      <c r="B60" s="36" t="s">
        <v>66</v>
      </c>
      <c r="C60" s="28" t="s">
        <v>140</v>
      </c>
      <c r="D60" s="29" t="s">
        <v>372</v>
      </c>
      <c r="E60" s="28" t="s">
        <v>373</v>
      </c>
      <c r="F60" s="28" t="s">
        <v>374</v>
      </c>
      <c r="G60" s="30" t="s">
        <v>133</v>
      </c>
      <c r="H60" s="31" t="s">
        <v>12</v>
      </c>
      <c r="I60" s="32" t="n">
        <v>46298</v>
      </c>
      <c r="J60" s="33" t="s">
        <v>177</v>
      </c>
    </row>
    <row r="61" customFormat="false" ht="15" hidden="false" customHeight="true" outlineLevel="0" collapsed="false">
      <c r="A61" s="26" t="s">
        <v>375</v>
      </c>
      <c r="B61" s="36" t="s">
        <v>66</v>
      </c>
      <c r="C61" s="28" t="s">
        <v>168</v>
      </c>
      <c r="D61" s="29" t="s">
        <v>376</v>
      </c>
      <c r="E61" s="28" t="s">
        <v>377</v>
      </c>
      <c r="F61" s="28" t="s">
        <v>378</v>
      </c>
      <c r="G61" s="30" t="s">
        <v>144</v>
      </c>
      <c r="H61" s="31" t="s">
        <v>12</v>
      </c>
      <c r="I61" s="32" t="n">
        <v>46298</v>
      </c>
      <c r="J61" s="33" t="s">
        <v>177</v>
      </c>
    </row>
    <row r="62" customFormat="false" ht="15" hidden="false" customHeight="true" outlineLevel="0" collapsed="false">
      <c r="A62" s="26" t="s">
        <v>379</v>
      </c>
      <c r="B62" s="36" t="s">
        <v>66</v>
      </c>
      <c r="C62" s="28" t="s">
        <v>168</v>
      </c>
      <c r="D62" s="29" t="s">
        <v>380</v>
      </c>
      <c r="E62" s="28" t="s">
        <v>381</v>
      </c>
      <c r="F62" s="28" t="s">
        <v>382</v>
      </c>
      <c r="G62" s="30" t="s">
        <v>133</v>
      </c>
      <c r="H62" s="31" t="s">
        <v>12</v>
      </c>
      <c r="I62" s="32" t="n">
        <v>46298</v>
      </c>
      <c r="J62" s="33" t="s">
        <v>383</v>
      </c>
    </row>
    <row r="63" customFormat="false" ht="15" hidden="false" customHeight="true" outlineLevel="0" collapsed="false">
      <c r="A63" s="26" t="s">
        <v>384</v>
      </c>
      <c r="B63" s="37" t="s">
        <v>67</v>
      </c>
      <c r="C63" s="28" t="s">
        <v>168</v>
      </c>
      <c r="D63" s="29" t="s">
        <v>385</v>
      </c>
      <c r="E63" s="28" t="s">
        <v>386</v>
      </c>
      <c r="F63" s="28" t="s">
        <v>387</v>
      </c>
      <c r="G63" s="30" t="s">
        <v>92</v>
      </c>
      <c r="H63" s="31" t="s">
        <v>12</v>
      </c>
      <c r="I63" s="32" t="n">
        <v>46298</v>
      </c>
      <c r="J63" s="33" t="s">
        <v>177</v>
      </c>
    </row>
    <row r="64" customFormat="false" ht="23.25" hidden="false" customHeight="true" outlineLevel="0" collapsed="false">
      <c r="A64" s="26" t="s">
        <v>388</v>
      </c>
      <c r="B64" s="37" t="s">
        <v>67</v>
      </c>
      <c r="C64" s="28" t="s">
        <v>389</v>
      </c>
      <c r="D64" s="29" t="s">
        <v>390</v>
      </c>
      <c r="E64" s="28" t="s">
        <v>391</v>
      </c>
      <c r="F64" s="28" t="s">
        <v>392</v>
      </c>
      <c r="G64" s="30" t="s">
        <v>92</v>
      </c>
      <c r="H64" s="31" t="s">
        <v>12</v>
      </c>
      <c r="I64" s="32" t="n">
        <v>46298</v>
      </c>
      <c r="J64" s="33" t="s">
        <v>177</v>
      </c>
    </row>
    <row r="65" customFormat="false" ht="23.25" hidden="false" customHeight="true" outlineLevel="0" collapsed="false">
      <c r="A65" s="26" t="s">
        <v>393</v>
      </c>
      <c r="B65" s="37" t="s">
        <v>67</v>
      </c>
      <c r="C65" s="28" t="s">
        <v>394</v>
      </c>
      <c r="D65" s="29" t="s">
        <v>395</v>
      </c>
      <c r="E65" s="28" t="s">
        <v>396</v>
      </c>
      <c r="F65" s="28" t="s">
        <v>397</v>
      </c>
      <c r="G65" s="30" t="s">
        <v>92</v>
      </c>
      <c r="H65" s="31" t="s">
        <v>12</v>
      </c>
      <c r="I65" s="32" t="n">
        <v>46298</v>
      </c>
      <c r="J65" s="33" t="s">
        <v>177</v>
      </c>
    </row>
    <row r="66" customFormat="false" ht="23.25" hidden="false" customHeight="true" outlineLevel="0" collapsed="false">
      <c r="A66" s="26" t="s">
        <v>398</v>
      </c>
      <c r="B66" s="37" t="s">
        <v>67</v>
      </c>
      <c r="C66" s="28" t="s">
        <v>399</v>
      </c>
      <c r="D66" s="29" t="s">
        <v>400</v>
      </c>
      <c r="E66" s="28" t="s">
        <v>401</v>
      </c>
      <c r="F66" s="28" t="s">
        <v>402</v>
      </c>
      <c r="G66" s="30" t="s">
        <v>92</v>
      </c>
      <c r="H66" s="31" t="s">
        <v>12</v>
      </c>
      <c r="I66" s="32" t="n">
        <v>46298</v>
      </c>
      <c r="J66" s="33" t="s">
        <v>177</v>
      </c>
    </row>
    <row r="67" customFormat="false" ht="15" hidden="false" customHeight="true" outlineLevel="0" collapsed="false">
      <c r="A67" s="26" t="s">
        <v>403</v>
      </c>
      <c r="B67" s="37" t="s">
        <v>67</v>
      </c>
      <c r="C67" s="28" t="s">
        <v>168</v>
      </c>
      <c r="D67" s="29" t="s">
        <v>404</v>
      </c>
      <c r="E67" s="28" t="s">
        <v>405</v>
      </c>
      <c r="F67" s="28" t="s">
        <v>406</v>
      </c>
      <c r="G67" s="30" t="s">
        <v>133</v>
      </c>
      <c r="H67" s="31" t="s">
        <v>12</v>
      </c>
      <c r="I67" s="32" t="n">
        <v>46298</v>
      </c>
      <c r="J67" s="33" t="s">
        <v>177</v>
      </c>
    </row>
    <row r="68" customFormat="false" ht="23.25" hidden="false" customHeight="true" outlineLevel="0" collapsed="false">
      <c r="A68" s="26" t="s">
        <v>407</v>
      </c>
      <c r="B68" s="37" t="s">
        <v>67</v>
      </c>
      <c r="C68" s="28" t="s">
        <v>140</v>
      </c>
      <c r="D68" s="29" t="s">
        <v>408</v>
      </c>
      <c r="E68" s="28" t="s">
        <v>409</v>
      </c>
      <c r="F68" s="28" t="s">
        <v>410</v>
      </c>
      <c r="G68" s="30" t="s">
        <v>92</v>
      </c>
      <c r="H68" s="31" t="s">
        <v>12</v>
      </c>
      <c r="I68" s="32" t="n">
        <v>46298</v>
      </c>
      <c r="J68" s="33" t="s">
        <v>177</v>
      </c>
    </row>
    <row r="69" customFormat="false" ht="23.25" hidden="false" customHeight="true" outlineLevel="0" collapsed="false">
      <c r="A69" s="26" t="s">
        <v>411</v>
      </c>
      <c r="B69" s="37" t="s">
        <v>67</v>
      </c>
      <c r="C69" s="28" t="s">
        <v>389</v>
      </c>
      <c r="D69" s="29" t="s">
        <v>412</v>
      </c>
      <c r="E69" s="28" t="s">
        <v>413</v>
      </c>
      <c r="F69" s="28" t="s">
        <v>414</v>
      </c>
      <c r="G69" s="30" t="s">
        <v>133</v>
      </c>
      <c r="H69" s="31" t="s">
        <v>12</v>
      </c>
      <c r="I69" s="32" t="n">
        <v>46298</v>
      </c>
      <c r="J69" s="33" t="s">
        <v>177</v>
      </c>
    </row>
    <row r="70" customFormat="false" ht="23.25" hidden="false" customHeight="true" outlineLevel="0" collapsed="false">
      <c r="A70" s="26" t="s">
        <v>415</v>
      </c>
      <c r="B70" s="37" t="s">
        <v>67</v>
      </c>
      <c r="C70" s="28" t="s">
        <v>399</v>
      </c>
      <c r="D70" s="29" t="s">
        <v>416</v>
      </c>
      <c r="E70" s="28" t="s">
        <v>417</v>
      </c>
      <c r="F70" s="28" t="s">
        <v>418</v>
      </c>
      <c r="G70" s="30" t="s">
        <v>144</v>
      </c>
      <c r="H70" s="31" t="s">
        <v>12</v>
      </c>
      <c r="I70" s="32" t="n">
        <v>46298</v>
      </c>
      <c r="J70" s="33" t="s">
        <v>177</v>
      </c>
    </row>
    <row r="71" customFormat="false" ht="34.5" hidden="false" customHeight="true" outlineLevel="0" collapsed="false">
      <c r="A71" s="26" t="s">
        <v>419</v>
      </c>
      <c r="B71" s="37" t="s">
        <v>67</v>
      </c>
      <c r="C71" s="28" t="s">
        <v>420</v>
      </c>
      <c r="D71" s="29" t="s">
        <v>421</v>
      </c>
      <c r="E71" s="28" t="s">
        <v>422</v>
      </c>
      <c r="F71" s="28" t="s">
        <v>423</v>
      </c>
      <c r="G71" s="30" t="s">
        <v>92</v>
      </c>
      <c r="H71" s="31" t="s">
        <v>12</v>
      </c>
      <c r="I71" s="32" t="n">
        <v>46298</v>
      </c>
      <c r="J71" s="33" t="s">
        <v>424</v>
      </c>
    </row>
    <row r="72" customFormat="false" ht="34.5" hidden="false" customHeight="true" outlineLevel="0" collapsed="false">
      <c r="A72" s="26" t="s">
        <v>425</v>
      </c>
      <c r="B72" s="38" t="s">
        <v>68</v>
      </c>
      <c r="C72" s="28" t="s">
        <v>168</v>
      </c>
      <c r="D72" s="29" t="s">
        <v>426</v>
      </c>
      <c r="E72" s="28" t="s">
        <v>427</v>
      </c>
      <c r="F72" s="28" t="s">
        <v>428</v>
      </c>
      <c r="G72" s="30" t="s">
        <v>92</v>
      </c>
      <c r="H72" s="31" t="s">
        <v>12</v>
      </c>
      <c r="I72" s="32" t="n">
        <v>46298</v>
      </c>
      <c r="J72" s="33" t="s">
        <v>177</v>
      </c>
    </row>
    <row r="73" customFormat="false" ht="23.25" hidden="false" customHeight="true" outlineLevel="0" collapsed="false">
      <c r="A73" s="26" t="s">
        <v>429</v>
      </c>
      <c r="B73" s="38" t="s">
        <v>68</v>
      </c>
      <c r="C73" s="28" t="s">
        <v>168</v>
      </c>
      <c r="D73" s="29" t="s">
        <v>430</v>
      </c>
      <c r="E73" s="28" t="s">
        <v>431</v>
      </c>
      <c r="F73" s="28" t="s">
        <v>432</v>
      </c>
      <c r="G73" s="30" t="s">
        <v>92</v>
      </c>
      <c r="H73" s="31" t="s">
        <v>12</v>
      </c>
      <c r="I73" s="32" t="n">
        <v>46298</v>
      </c>
      <c r="J73" s="33" t="s">
        <v>177</v>
      </c>
    </row>
    <row r="74" customFormat="false" ht="15" hidden="false" customHeight="true" outlineLevel="0" collapsed="false">
      <c r="A74" s="26" t="s">
        <v>433</v>
      </c>
      <c r="B74" s="38" t="s">
        <v>68</v>
      </c>
      <c r="C74" s="28" t="s">
        <v>140</v>
      </c>
      <c r="D74" s="29" t="s">
        <v>434</v>
      </c>
      <c r="E74" s="28" t="s">
        <v>435</v>
      </c>
      <c r="F74" s="28" t="s">
        <v>436</v>
      </c>
      <c r="G74" s="30" t="s">
        <v>92</v>
      </c>
      <c r="H74" s="31" t="s">
        <v>12</v>
      </c>
      <c r="I74" s="32" t="n">
        <v>46298</v>
      </c>
      <c r="J74" s="33" t="s">
        <v>437</v>
      </c>
    </row>
    <row r="75" customFormat="false" ht="23.25" hidden="false" customHeight="true" outlineLevel="0" collapsed="false">
      <c r="A75" s="26" t="s">
        <v>438</v>
      </c>
      <c r="B75" s="38" t="s">
        <v>68</v>
      </c>
      <c r="C75" s="28" t="s">
        <v>140</v>
      </c>
      <c r="D75" s="29" t="s">
        <v>439</v>
      </c>
      <c r="E75" s="28" t="s">
        <v>440</v>
      </c>
      <c r="F75" s="28" t="s">
        <v>441</v>
      </c>
      <c r="G75" s="30" t="s">
        <v>92</v>
      </c>
      <c r="H75" s="31" t="s">
        <v>12</v>
      </c>
      <c r="I75" s="32" t="n">
        <v>46298</v>
      </c>
      <c r="J75" s="33" t="s">
        <v>177</v>
      </c>
    </row>
    <row r="76" customFormat="false" ht="23.25" hidden="false" customHeight="true" outlineLevel="0" collapsed="false">
      <c r="A76" s="26" t="s">
        <v>442</v>
      </c>
      <c r="B76" s="38" t="s">
        <v>68</v>
      </c>
      <c r="C76" s="28" t="s">
        <v>443</v>
      </c>
      <c r="D76" s="29" t="s">
        <v>444</v>
      </c>
      <c r="E76" s="28" t="s">
        <v>445</v>
      </c>
      <c r="F76" s="28" t="s">
        <v>446</v>
      </c>
      <c r="G76" s="30" t="s">
        <v>92</v>
      </c>
      <c r="H76" s="31" t="s">
        <v>12</v>
      </c>
      <c r="I76" s="32" t="n">
        <v>46298</v>
      </c>
      <c r="J76" s="33" t="s">
        <v>177</v>
      </c>
    </row>
    <row r="77" customFormat="false" ht="15" hidden="false" customHeight="true" outlineLevel="0" collapsed="false">
      <c r="A77" s="26" t="s">
        <v>447</v>
      </c>
      <c r="B77" s="38" t="s">
        <v>68</v>
      </c>
      <c r="C77" s="28" t="s">
        <v>129</v>
      </c>
      <c r="D77" s="29" t="s">
        <v>448</v>
      </c>
      <c r="E77" s="28" t="s">
        <v>449</v>
      </c>
      <c r="F77" s="28" t="s">
        <v>450</v>
      </c>
      <c r="G77" s="30" t="s">
        <v>92</v>
      </c>
      <c r="H77" s="31" t="s">
        <v>12</v>
      </c>
      <c r="I77" s="32" t="n">
        <v>46298</v>
      </c>
      <c r="J77" s="33" t="s">
        <v>177</v>
      </c>
    </row>
    <row r="78" customFormat="false" ht="15" hidden="false" customHeight="true" outlineLevel="0" collapsed="false">
      <c r="A78" s="26" t="s">
        <v>451</v>
      </c>
      <c r="B78" s="38" t="s">
        <v>68</v>
      </c>
      <c r="C78" s="28" t="s">
        <v>168</v>
      </c>
      <c r="D78" s="29" t="s">
        <v>452</v>
      </c>
      <c r="E78" s="28" t="s">
        <v>453</v>
      </c>
      <c r="F78" s="28" t="s">
        <v>454</v>
      </c>
      <c r="G78" s="30" t="s">
        <v>133</v>
      </c>
      <c r="H78" s="31" t="s">
        <v>12</v>
      </c>
      <c r="I78" s="32" t="n">
        <v>46298</v>
      </c>
      <c r="J78" s="33" t="s">
        <v>177</v>
      </c>
    </row>
    <row r="79" customFormat="false" ht="23.25" hidden="false" customHeight="true" outlineLevel="0" collapsed="false">
      <c r="A79" s="26" t="s">
        <v>455</v>
      </c>
      <c r="B79" s="38" t="s">
        <v>68</v>
      </c>
      <c r="C79" s="28" t="s">
        <v>88</v>
      </c>
      <c r="D79" s="29" t="s">
        <v>456</v>
      </c>
      <c r="E79" s="28" t="s">
        <v>457</v>
      </c>
      <c r="F79" s="28" t="s">
        <v>458</v>
      </c>
      <c r="G79" s="30" t="s">
        <v>92</v>
      </c>
      <c r="H79" s="31" t="s">
        <v>12</v>
      </c>
      <c r="I79" s="32" t="n">
        <v>46298</v>
      </c>
      <c r="J79" s="33" t="s">
        <v>459</v>
      </c>
    </row>
    <row r="80" customFormat="false" ht="23.25" hidden="false" customHeight="true" outlineLevel="0" collapsed="false">
      <c r="A80" s="26" t="s">
        <v>460</v>
      </c>
      <c r="B80" s="38" t="s">
        <v>68</v>
      </c>
      <c r="C80" s="28" t="s">
        <v>88</v>
      </c>
      <c r="D80" s="29" t="s">
        <v>461</v>
      </c>
      <c r="E80" s="28" t="s">
        <v>462</v>
      </c>
      <c r="F80" s="28" t="s">
        <v>463</v>
      </c>
      <c r="G80" s="30" t="s">
        <v>133</v>
      </c>
      <c r="H80" s="31" t="s">
        <v>12</v>
      </c>
      <c r="I80" s="32" t="n">
        <v>46298</v>
      </c>
      <c r="J80" s="33" t="s">
        <v>177</v>
      </c>
    </row>
    <row r="81" customFormat="false" ht="23.25" hidden="false" customHeight="true" outlineLevel="0" collapsed="false">
      <c r="A81" s="26" t="s">
        <v>464</v>
      </c>
      <c r="B81" s="39" t="s">
        <v>69</v>
      </c>
      <c r="C81" s="28" t="s">
        <v>168</v>
      </c>
      <c r="D81" s="29" t="s">
        <v>465</v>
      </c>
      <c r="E81" s="28" t="s">
        <v>466</v>
      </c>
      <c r="F81" s="28" t="s">
        <v>467</v>
      </c>
      <c r="G81" s="30" t="s">
        <v>92</v>
      </c>
      <c r="H81" s="31" t="s">
        <v>12</v>
      </c>
      <c r="I81" s="32" t="n">
        <v>46298</v>
      </c>
      <c r="J81" s="33" t="s">
        <v>177</v>
      </c>
    </row>
    <row r="82" customFormat="false" ht="23.25" hidden="false" customHeight="true" outlineLevel="0" collapsed="false">
      <c r="A82" s="26" t="s">
        <v>468</v>
      </c>
      <c r="B82" s="39" t="s">
        <v>69</v>
      </c>
      <c r="C82" s="28" t="s">
        <v>168</v>
      </c>
      <c r="D82" s="29" t="s">
        <v>469</v>
      </c>
      <c r="E82" s="28" t="s">
        <v>470</v>
      </c>
      <c r="F82" s="28" t="s">
        <v>471</v>
      </c>
      <c r="G82" s="30" t="s">
        <v>92</v>
      </c>
      <c r="H82" s="31" t="s">
        <v>12</v>
      </c>
      <c r="I82" s="32" t="n">
        <v>46298</v>
      </c>
      <c r="J82" s="33" t="s">
        <v>177</v>
      </c>
    </row>
    <row r="83" customFormat="false" ht="15" hidden="false" customHeight="true" outlineLevel="0" collapsed="false">
      <c r="A83" s="26" t="s">
        <v>472</v>
      </c>
      <c r="B83" s="39" t="s">
        <v>69</v>
      </c>
      <c r="C83" s="28" t="s">
        <v>168</v>
      </c>
      <c r="D83" s="29" t="s">
        <v>473</v>
      </c>
      <c r="E83" s="28" t="s">
        <v>474</v>
      </c>
      <c r="F83" s="28" t="s">
        <v>406</v>
      </c>
      <c r="G83" s="30" t="s">
        <v>92</v>
      </c>
      <c r="H83" s="31" t="s">
        <v>12</v>
      </c>
      <c r="I83" s="32" t="n">
        <v>46298</v>
      </c>
      <c r="J83" s="33" t="s">
        <v>177</v>
      </c>
    </row>
    <row r="84" customFormat="false" ht="23.25" hidden="false" customHeight="true" outlineLevel="0" collapsed="false">
      <c r="A84" s="26" t="s">
        <v>475</v>
      </c>
      <c r="B84" s="39" t="s">
        <v>69</v>
      </c>
      <c r="C84" s="28" t="s">
        <v>140</v>
      </c>
      <c r="D84" s="29" t="s">
        <v>476</v>
      </c>
      <c r="E84" s="28" t="s">
        <v>477</v>
      </c>
      <c r="F84" s="28" t="s">
        <v>478</v>
      </c>
      <c r="G84" s="30" t="s">
        <v>92</v>
      </c>
      <c r="H84" s="31" t="s">
        <v>61</v>
      </c>
      <c r="I84" s="32"/>
      <c r="J84" s="33"/>
    </row>
    <row r="85" customFormat="false" ht="23.25" hidden="false" customHeight="true" outlineLevel="0" collapsed="false">
      <c r="A85" s="26" t="s">
        <v>479</v>
      </c>
      <c r="B85" s="39" t="s">
        <v>69</v>
      </c>
      <c r="C85" s="28" t="s">
        <v>443</v>
      </c>
      <c r="D85" s="29" t="s">
        <v>480</v>
      </c>
      <c r="E85" s="28" t="s">
        <v>481</v>
      </c>
      <c r="F85" s="28" t="s">
        <v>482</v>
      </c>
      <c r="G85" s="30" t="s">
        <v>92</v>
      </c>
      <c r="H85" s="31" t="s">
        <v>12</v>
      </c>
      <c r="I85" s="32" t="n">
        <v>46298</v>
      </c>
      <c r="J85" s="33" t="s">
        <v>177</v>
      </c>
    </row>
    <row r="86" customFormat="false" ht="23.25" hidden="false" customHeight="true" outlineLevel="0" collapsed="false">
      <c r="A86" s="26" t="s">
        <v>483</v>
      </c>
      <c r="B86" s="39" t="s">
        <v>69</v>
      </c>
      <c r="C86" s="28" t="s">
        <v>443</v>
      </c>
      <c r="D86" s="29" t="s">
        <v>484</v>
      </c>
      <c r="E86" s="28" t="s">
        <v>485</v>
      </c>
      <c r="F86" s="28" t="s">
        <v>486</v>
      </c>
      <c r="G86" s="30" t="s">
        <v>92</v>
      </c>
      <c r="H86" s="31" t="s">
        <v>12</v>
      </c>
      <c r="I86" s="32" t="n">
        <v>46298</v>
      </c>
      <c r="J86" s="33" t="s">
        <v>177</v>
      </c>
    </row>
    <row r="87" customFormat="false" ht="57" hidden="false" customHeight="true" outlineLevel="0" collapsed="false">
      <c r="A87" s="26" t="s">
        <v>487</v>
      </c>
      <c r="B87" s="39" t="s">
        <v>69</v>
      </c>
      <c r="C87" s="28" t="s">
        <v>168</v>
      </c>
      <c r="D87" s="29" t="s">
        <v>488</v>
      </c>
      <c r="E87" s="28" t="s">
        <v>489</v>
      </c>
      <c r="F87" s="28" t="s">
        <v>490</v>
      </c>
      <c r="G87" s="30" t="s">
        <v>92</v>
      </c>
      <c r="H87" s="31" t="s">
        <v>12</v>
      </c>
      <c r="I87" s="32" t="n">
        <v>46298</v>
      </c>
      <c r="J87" s="33" t="s">
        <v>491</v>
      </c>
    </row>
    <row r="88" customFormat="false" ht="23.25" hidden="false" customHeight="true" outlineLevel="0" collapsed="false">
      <c r="A88" s="26" t="s">
        <v>492</v>
      </c>
      <c r="B88" s="39" t="s">
        <v>69</v>
      </c>
      <c r="C88" s="28" t="s">
        <v>394</v>
      </c>
      <c r="D88" s="29" t="s">
        <v>493</v>
      </c>
      <c r="E88" s="28" t="s">
        <v>396</v>
      </c>
      <c r="F88" s="28" t="s">
        <v>494</v>
      </c>
      <c r="G88" s="30" t="s">
        <v>92</v>
      </c>
      <c r="H88" s="31" t="s">
        <v>12</v>
      </c>
      <c r="I88" s="32" t="n">
        <v>46298</v>
      </c>
      <c r="J88" s="33" t="s">
        <v>177</v>
      </c>
    </row>
    <row r="89" customFormat="false" ht="23.25" hidden="false" customHeight="true" outlineLevel="0" collapsed="false">
      <c r="A89" s="26" t="s">
        <v>495</v>
      </c>
      <c r="B89" s="39" t="s">
        <v>69</v>
      </c>
      <c r="C89" s="28" t="s">
        <v>331</v>
      </c>
      <c r="D89" s="29" t="s">
        <v>496</v>
      </c>
      <c r="E89" s="28" t="s">
        <v>497</v>
      </c>
      <c r="F89" s="28" t="s">
        <v>498</v>
      </c>
      <c r="G89" s="30" t="s">
        <v>92</v>
      </c>
      <c r="H89" s="31" t="s">
        <v>12</v>
      </c>
      <c r="I89" s="32" t="n">
        <v>46298</v>
      </c>
      <c r="J89" s="33" t="s">
        <v>177</v>
      </c>
    </row>
    <row r="90" customFormat="false" ht="23.25" hidden="false" customHeight="true" outlineLevel="0" collapsed="false">
      <c r="A90" s="26" t="s">
        <v>499</v>
      </c>
      <c r="B90" s="39" t="s">
        <v>69</v>
      </c>
      <c r="C90" s="28" t="s">
        <v>140</v>
      </c>
      <c r="D90" s="29" t="s">
        <v>500</v>
      </c>
      <c r="E90" s="28" t="s">
        <v>501</v>
      </c>
      <c r="F90" s="28" t="s">
        <v>502</v>
      </c>
      <c r="G90" s="30" t="s">
        <v>133</v>
      </c>
      <c r="H90" s="31" t="s">
        <v>12</v>
      </c>
      <c r="I90" s="32" t="n">
        <v>46298</v>
      </c>
      <c r="J90" s="33" t="s">
        <v>177</v>
      </c>
    </row>
    <row r="91" customFormat="false" ht="15" hidden="false" customHeight="true" outlineLevel="0" collapsed="false">
      <c r="A91" s="26" t="s">
        <v>503</v>
      </c>
      <c r="B91" s="39" t="s">
        <v>69</v>
      </c>
      <c r="C91" s="28" t="s">
        <v>168</v>
      </c>
      <c r="D91" s="29" t="s">
        <v>504</v>
      </c>
      <c r="E91" s="28" t="s">
        <v>505</v>
      </c>
      <c r="F91" s="28" t="s">
        <v>506</v>
      </c>
      <c r="G91" s="30" t="s">
        <v>133</v>
      </c>
      <c r="H91" s="31" t="s">
        <v>12</v>
      </c>
      <c r="I91" s="32" t="n">
        <v>46298</v>
      </c>
      <c r="J91" s="33" t="s">
        <v>177</v>
      </c>
    </row>
    <row r="92" customFormat="false" ht="23.25" hidden="false" customHeight="true" outlineLevel="0" collapsed="false">
      <c r="A92" s="26" t="s">
        <v>507</v>
      </c>
      <c r="B92" s="39" t="s">
        <v>69</v>
      </c>
      <c r="C92" s="28" t="s">
        <v>140</v>
      </c>
      <c r="D92" s="29" t="s">
        <v>508</v>
      </c>
      <c r="E92" s="28" t="s">
        <v>509</v>
      </c>
      <c r="F92" s="28" t="s">
        <v>510</v>
      </c>
      <c r="G92" s="30" t="s">
        <v>133</v>
      </c>
      <c r="H92" s="31" t="s">
        <v>12</v>
      </c>
      <c r="I92" s="32" t="n">
        <v>46298</v>
      </c>
      <c r="J92" s="33" t="s">
        <v>177</v>
      </c>
    </row>
    <row r="93" customFormat="false" ht="23.25" hidden="false" customHeight="true" outlineLevel="0" collapsed="false">
      <c r="A93" s="26" t="s">
        <v>511</v>
      </c>
      <c r="B93" s="39" t="s">
        <v>69</v>
      </c>
      <c r="C93" s="28" t="s">
        <v>168</v>
      </c>
      <c r="D93" s="29" t="s">
        <v>512</v>
      </c>
      <c r="E93" s="28" t="s">
        <v>513</v>
      </c>
      <c r="F93" s="28" t="s">
        <v>514</v>
      </c>
      <c r="G93" s="30" t="s">
        <v>133</v>
      </c>
      <c r="H93" s="31" t="s">
        <v>12</v>
      </c>
      <c r="I93" s="32" t="n">
        <v>46298</v>
      </c>
      <c r="J93" s="33" t="s">
        <v>515</v>
      </c>
    </row>
    <row r="94" customFormat="false" ht="23.25" hidden="false" customHeight="true" outlineLevel="0" collapsed="false">
      <c r="A94" s="26" t="s">
        <v>516</v>
      </c>
      <c r="B94" s="39" t="s">
        <v>69</v>
      </c>
      <c r="C94" s="28" t="s">
        <v>168</v>
      </c>
      <c r="D94" s="29" t="s">
        <v>517</v>
      </c>
      <c r="E94" s="28" t="s">
        <v>518</v>
      </c>
      <c r="F94" s="28" t="s">
        <v>519</v>
      </c>
      <c r="G94" s="30" t="s">
        <v>92</v>
      </c>
      <c r="H94" s="31" t="s">
        <v>12</v>
      </c>
      <c r="I94" s="32" t="n">
        <v>46298</v>
      </c>
      <c r="J94" s="33" t="s">
        <v>520</v>
      </c>
    </row>
    <row r="95" customFormat="false" ht="57" hidden="false" customHeight="true" outlineLevel="0" collapsed="false">
      <c r="A95" s="26" t="s">
        <v>521</v>
      </c>
      <c r="B95" s="34" t="s">
        <v>70</v>
      </c>
      <c r="C95" s="28" t="s">
        <v>140</v>
      </c>
      <c r="D95" s="29" t="s">
        <v>522</v>
      </c>
      <c r="E95" s="28" t="s">
        <v>523</v>
      </c>
      <c r="F95" s="28" t="s">
        <v>524</v>
      </c>
      <c r="G95" s="30" t="s">
        <v>92</v>
      </c>
      <c r="H95" s="31" t="s">
        <v>12</v>
      </c>
      <c r="I95" s="32" t="n">
        <v>46298</v>
      </c>
      <c r="J95" s="33" t="s">
        <v>525</v>
      </c>
    </row>
    <row r="96" customFormat="false" ht="15" hidden="false" customHeight="true" outlineLevel="0" collapsed="false">
      <c r="A96" s="26" t="s">
        <v>526</v>
      </c>
      <c r="B96" s="34" t="s">
        <v>70</v>
      </c>
      <c r="C96" s="28" t="s">
        <v>140</v>
      </c>
      <c r="D96" s="29" t="s">
        <v>527</v>
      </c>
      <c r="E96" s="28" t="s">
        <v>528</v>
      </c>
      <c r="F96" s="28" t="s">
        <v>529</v>
      </c>
      <c r="G96" s="30" t="s">
        <v>133</v>
      </c>
      <c r="H96" s="31" t="s">
        <v>12</v>
      </c>
      <c r="I96" s="32" t="n">
        <v>46298</v>
      </c>
      <c r="J96" s="33" t="s">
        <v>177</v>
      </c>
    </row>
    <row r="97" customFormat="false" ht="23.25" hidden="false" customHeight="true" outlineLevel="0" collapsed="false">
      <c r="A97" s="26" t="s">
        <v>530</v>
      </c>
      <c r="B97" s="34" t="s">
        <v>70</v>
      </c>
      <c r="C97" s="28" t="s">
        <v>140</v>
      </c>
      <c r="D97" s="29" t="s">
        <v>531</v>
      </c>
      <c r="E97" s="28" t="s">
        <v>532</v>
      </c>
      <c r="F97" s="28" t="s">
        <v>533</v>
      </c>
      <c r="G97" s="30" t="s">
        <v>133</v>
      </c>
      <c r="H97" s="31" t="s">
        <v>12</v>
      </c>
      <c r="I97" s="32" t="n">
        <v>46298</v>
      </c>
      <c r="J97" s="33" t="s">
        <v>177</v>
      </c>
    </row>
    <row r="98" customFormat="false" ht="23.25" hidden="false" customHeight="true" outlineLevel="0" collapsed="false">
      <c r="A98" s="26" t="s">
        <v>534</v>
      </c>
      <c r="B98" s="34" t="s">
        <v>70</v>
      </c>
      <c r="C98" s="28" t="s">
        <v>140</v>
      </c>
      <c r="D98" s="29" t="s">
        <v>535</v>
      </c>
      <c r="E98" s="28" t="s">
        <v>536</v>
      </c>
      <c r="F98" s="28" t="s">
        <v>537</v>
      </c>
      <c r="G98" s="30" t="s">
        <v>133</v>
      </c>
      <c r="H98" s="31" t="s">
        <v>12</v>
      </c>
      <c r="I98" s="32" t="n">
        <v>46298</v>
      </c>
      <c r="J98" s="33" t="s">
        <v>538</v>
      </c>
    </row>
    <row r="99" customFormat="false" ht="23.25" hidden="false" customHeight="true" outlineLevel="0" collapsed="false">
      <c r="A99" s="26" t="s">
        <v>539</v>
      </c>
      <c r="B99" s="34" t="s">
        <v>70</v>
      </c>
      <c r="C99" s="28" t="s">
        <v>140</v>
      </c>
      <c r="D99" s="29" t="s">
        <v>540</v>
      </c>
      <c r="E99" s="28" t="s">
        <v>541</v>
      </c>
      <c r="F99" s="28" t="s">
        <v>542</v>
      </c>
      <c r="G99" s="30" t="s">
        <v>144</v>
      </c>
      <c r="H99" s="31" t="s">
        <v>61</v>
      </c>
      <c r="I99" s="32"/>
      <c r="J99" s="33" t="s">
        <v>543</v>
      </c>
    </row>
    <row r="100" customFormat="false" ht="45.75" hidden="false" customHeight="true" outlineLevel="0" collapsed="false">
      <c r="A100" s="26" t="s">
        <v>544</v>
      </c>
      <c r="B100" s="34" t="s">
        <v>70</v>
      </c>
      <c r="C100" s="28" t="s">
        <v>140</v>
      </c>
      <c r="D100" s="29" t="s">
        <v>545</v>
      </c>
      <c r="E100" s="28" t="s">
        <v>546</v>
      </c>
      <c r="F100" s="28" t="s">
        <v>547</v>
      </c>
      <c r="G100" s="30" t="s">
        <v>92</v>
      </c>
      <c r="H100" s="31" t="s">
        <v>12</v>
      </c>
      <c r="I100" s="32" t="n">
        <v>46298</v>
      </c>
      <c r="J100" s="33" t="s">
        <v>548</v>
      </c>
    </row>
    <row r="101" customFormat="false" ht="34.5" hidden="false" customHeight="true" outlineLevel="0" collapsed="false">
      <c r="A101" s="26" t="s">
        <v>549</v>
      </c>
      <c r="B101" s="34" t="s">
        <v>70</v>
      </c>
      <c r="C101" s="28" t="s">
        <v>140</v>
      </c>
      <c r="D101" s="29" t="s">
        <v>550</v>
      </c>
      <c r="E101" s="28" t="s">
        <v>551</v>
      </c>
      <c r="F101" s="28" t="s">
        <v>552</v>
      </c>
      <c r="G101" s="30" t="s">
        <v>133</v>
      </c>
      <c r="H101" s="31" t="s">
        <v>12</v>
      </c>
      <c r="I101" s="32" t="n">
        <v>46298</v>
      </c>
      <c r="J101" s="33" t="s">
        <v>553</v>
      </c>
    </row>
    <row r="102" customFormat="false" ht="34.5" hidden="false" customHeight="true" outlineLevel="0" collapsed="false">
      <c r="A102" s="26" t="s">
        <v>554</v>
      </c>
      <c r="B102" s="34" t="s">
        <v>70</v>
      </c>
      <c r="C102" s="28" t="s">
        <v>140</v>
      </c>
      <c r="D102" s="29" t="s">
        <v>555</v>
      </c>
      <c r="E102" s="28" t="s">
        <v>556</v>
      </c>
      <c r="F102" s="28" t="s">
        <v>557</v>
      </c>
      <c r="G102" s="30" t="s">
        <v>144</v>
      </c>
      <c r="H102" s="31" t="s">
        <v>59</v>
      </c>
      <c r="I102" s="32"/>
      <c r="J102" s="33" t="s">
        <v>558</v>
      </c>
    </row>
    <row r="103" customFormat="false" ht="34.5" hidden="false" customHeight="true" outlineLevel="0" collapsed="false">
      <c r="A103" s="26" t="s">
        <v>559</v>
      </c>
      <c r="B103" s="36" t="s">
        <v>71</v>
      </c>
      <c r="C103" s="28" t="s">
        <v>140</v>
      </c>
      <c r="D103" s="29" t="s">
        <v>560</v>
      </c>
      <c r="E103" s="28" t="s">
        <v>561</v>
      </c>
      <c r="F103" s="28" t="s">
        <v>562</v>
      </c>
      <c r="G103" s="30" t="s">
        <v>92</v>
      </c>
      <c r="H103" s="31" t="s">
        <v>12</v>
      </c>
      <c r="I103" s="32" t="n">
        <v>46298</v>
      </c>
      <c r="J103" s="33" t="s">
        <v>177</v>
      </c>
    </row>
    <row r="104" customFormat="false" ht="23.25" hidden="false" customHeight="true" outlineLevel="0" collapsed="false">
      <c r="A104" s="26" t="s">
        <v>563</v>
      </c>
      <c r="B104" s="36" t="s">
        <v>71</v>
      </c>
      <c r="C104" s="28" t="s">
        <v>140</v>
      </c>
      <c r="D104" s="29" t="s">
        <v>564</v>
      </c>
      <c r="E104" s="28" t="s">
        <v>565</v>
      </c>
      <c r="F104" s="28" t="s">
        <v>566</v>
      </c>
      <c r="G104" s="30" t="s">
        <v>92</v>
      </c>
      <c r="H104" s="31" t="s">
        <v>12</v>
      </c>
      <c r="I104" s="32" t="n">
        <v>46298</v>
      </c>
      <c r="J104" s="33" t="s">
        <v>177</v>
      </c>
    </row>
    <row r="105" customFormat="false" ht="23.25" hidden="false" customHeight="true" outlineLevel="0" collapsed="false">
      <c r="A105" s="26" t="s">
        <v>567</v>
      </c>
      <c r="B105" s="36" t="s">
        <v>71</v>
      </c>
      <c r="C105" s="28" t="s">
        <v>140</v>
      </c>
      <c r="D105" s="29" t="s">
        <v>568</v>
      </c>
      <c r="E105" s="28" t="s">
        <v>569</v>
      </c>
      <c r="F105" s="28" t="s">
        <v>570</v>
      </c>
      <c r="G105" s="30" t="s">
        <v>133</v>
      </c>
      <c r="H105" s="31" t="s">
        <v>12</v>
      </c>
      <c r="I105" s="32" t="n">
        <v>46298</v>
      </c>
      <c r="J105" s="33" t="s">
        <v>177</v>
      </c>
    </row>
    <row r="106" customFormat="false" ht="23.25" hidden="false" customHeight="true" outlineLevel="0" collapsed="false">
      <c r="A106" s="26" t="s">
        <v>571</v>
      </c>
      <c r="B106" s="36" t="s">
        <v>71</v>
      </c>
      <c r="C106" s="28" t="s">
        <v>140</v>
      </c>
      <c r="D106" s="29" t="s">
        <v>572</v>
      </c>
      <c r="E106" s="28" t="s">
        <v>573</v>
      </c>
      <c r="F106" s="28" t="s">
        <v>574</v>
      </c>
      <c r="G106" s="30" t="s">
        <v>133</v>
      </c>
      <c r="H106" s="31" t="s">
        <v>12</v>
      </c>
      <c r="I106" s="32" t="n">
        <v>46298</v>
      </c>
      <c r="J106" s="33" t="s">
        <v>177</v>
      </c>
    </row>
    <row r="107" customFormat="false" ht="23.25" hidden="false" customHeight="true" outlineLevel="0" collapsed="false">
      <c r="A107" s="26" t="s">
        <v>575</v>
      </c>
      <c r="B107" s="36" t="s">
        <v>71</v>
      </c>
      <c r="C107" s="28" t="s">
        <v>140</v>
      </c>
      <c r="D107" s="29" t="s">
        <v>576</v>
      </c>
      <c r="E107" s="28" t="s">
        <v>577</v>
      </c>
      <c r="F107" s="28" t="s">
        <v>578</v>
      </c>
      <c r="G107" s="30" t="s">
        <v>92</v>
      </c>
      <c r="H107" s="31" t="s">
        <v>12</v>
      </c>
      <c r="I107" s="32" t="n">
        <v>46298</v>
      </c>
      <c r="J107" s="33" t="s">
        <v>177</v>
      </c>
    </row>
    <row r="108" customFormat="false" ht="23.25" hidden="false" customHeight="true" outlineLevel="0" collapsed="false">
      <c r="A108" s="26" t="s">
        <v>579</v>
      </c>
      <c r="B108" s="36" t="s">
        <v>71</v>
      </c>
      <c r="C108" s="28" t="s">
        <v>140</v>
      </c>
      <c r="D108" s="29" t="s">
        <v>580</v>
      </c>
      <c r="E108" s="28" t="s">
        <v>581</v>
      </c>
      <c r="F108" s="28" t="s">
        <v>582</v>
      </c>
      <c r="G108" s="30" t="s">
        <v>92</v>
      </c>
      <c r="H108" s="31" t="s">
        <v>12</v>
      </c>
      <c r="I108" s="32" t="n">
        <v>46298</v>
      </c>
      <c r="J108" s="33" t="s">
        <v>177</v>
      </c>
    </row>
    <row r="109" customFormat="false" ht="23.25" hidden="false" customHeight="true" outlineLevel="0" collapsed="false">
      <c r="A109" s="26" t="s">
        <v>583</v>
      </c>
      <c r="B109" s="36" t="s">
        <v>71</v>
      </c>
      <c r="C109" s="28" t="s">
        <v>331</v>
      </c>
      <c r="D109" s="29" t="s">
        <v>584</v>
      </c>
      <c r="E109" s="28" t="s">
        <v>585</v>
      </c>
      <c r="F109" s="28" t="s">
        <v>586</v>
      </c>
      <c r="G109" s="30" t="s">
        <v>133</v>
      </c>
      <c r="H109" s="31" t="s">
        <v>12</v>
      </c>
      <c r="I109" s="32" t="n">
        <v>46298</v>
      </c>
      <c r="J109" s="33" t="s">
        <v>177</v>
      </c>
    </row>
    <row r="110" customFormat="false" ht="23.25" hidden="false" customHeight="true" outlineLevel="0" collapsed="false">
      <c r="A110" s="26" t="s">
        <v>587</v>
      </c>
      <c r="B110" s="36" t="s">
        <v>71</v>
      </c>
      <c r="C110" s="28" t="s">
        <v>140</v>
      </c>
      <c r="D110" s="29" t="s">
        <v>588</v>
      </c>
      <c r="E110" s="28" t="s">
        <v>589</v>
      </c>
      <c r="F110" s="28" t="s">
        <v>590</v>
      </c>
      <c r="G110" s="30" t="s">
        <v>133</v>
      </c>
      <c r="H110" s="31" t="s">
        <v>12</v>
      </c>
      <c r="I110" s="32" t="n">
        <v>46298</v>
      </c>
      <c r="J110" s="33" t="s">
        <v>177</v>
      </c>
    </row>
    <row r="111" customFormat="false" ht="34.5" hidden="false" customHeight="true" outlineLevel="0" collapsed="false">
      <c r="A111" s="26" t="s">
        <v>591</v>
      </c>
      <c r="B111" s="36" t="s">
        <v>71</v>
      </c>
      <c r="C111" s="28" t="s">
        <v>140</v>
      </c>
      <c r="D111" s="29" t="s">
        <v>592</v>
      </c>
      <c r="E111" s="28" t="s">
        <v>593</v>
      </c>
      <c r="F111" s="28" t="s">
        <v>594</v>
      </c>
      <c r="G111" s="30" t="s">
        <v>92</v>
      </c>
      <c r="H111" s="31" t="s">
        <v>12</v>
      </c>
      <c r="I111" s="32" t="n">
        <v>46298</v>
      </c>
      <c r="J111" s="33" t="s">
        <v>177</v>
      </c>
    </row>
    <row r="112" customFormat="false" ht="23.25" hidden="false" customHeight="true" outlineLevel="0" collapsed="false">
      <c r="A112" s="26" t="s">
        <v>595</v>
      </c>
      <c r="B112" s="36" t="s">
        <v>71</v>
      </c>
      <c r="C112" s="28" t="s">
        <v>140</v>
      </c>
      <c r="D112" s="29" t="s">
        <v>596</v>
      </c>
      <c r="E112" s="28" t="s">
        <v>597</v>
      </c>
      <c r="F112" s="28" t="s">
        <v>598</v>
      </c>
      <c r="G112" s="30" t="s">
        <v>144</v>
      </c>
      <c r="H112" s="31" t="s">
        <v>12</v>
      </c>
      <c r="I112" s="32" t="n">
        <v>46298</v>
      </c>
      <c r="J112" s="33" t="s">
        <v>177</v>
      </c>
    </row>
    <row r="113" customFormat="false" ht="23.25" hidden="false" customHeight="true" outlineLevel="0" collapsed="false">
      <c r="A113" s="26" t="s">
        <v>599</v>
      </c>
      <c r="B113" s="39" t="s">
        <v>72</v>
      </c>
      <c r="C113" s="28" t="s">
        <v>88</v>
      </c>
      <c r="D113" s="29" t="s">
        <v>600</v>
      </c>
      <c r="E113" s="28" t="s">
        <v>601</v>
      </c>
      <c r="F113" s="28" t="s">
        <v>602</v>
      </c>
      <c r="G113" s="30" t="s">
        <v>92</v>
      </c>
      <c r="H113" s="31" t="s">
        <v>12</v>
      </c>
      <c r="I113" s="32" t="n">
        <v>46298</v>
      </c>
      <c r="J113" s="33" t="s">
        <v>177</v>
      </c>
    </row>
    <row r="114" customFormat="false" ht="15" hidden="false" customHeight="true" outlineLevel="0" collapsed="false">
      <c r="A114" s="26" t="s">
        <v>603</v>
      </c>
      <c r="B114" s="39" t="s">
        <v>72</v>
      </c>
      <c r="C114" s="28" t="s">
        <v>88</v>
      </c>
      <c r="D114" s="29" t="s">
        <v>604</v>
      </c>
      <c r="E114" s="28" t="s">
        <v>605</v>
      </c>
      <c r="F114" s="28" t="s">
        <v>606</v>
      </c>
      <c r="G114" s="30" t="s">
        <v>92</v>
      </c>
      <c r="H114" s="31" t="s">
        <v>12</v>
      </c>
      <c r="I114" s="32" t="n">
        <v>46298</v>
      </c>
      <c r="J114" s="33" t="s">
        <v>177</v>
      </c>
    </row>
    <row r="115" customFormat="false" ht="15" hidden="false" customHeight="true" outlineLevel="0" collapsed="false">
      <c r="A115" s="26" t="s">
        <v>607</v>
      </c>
      <c r="B115" s="39" t="s">
        <v>72</v>
      </c>
      <c r="C115" s="28" t="s">
        <v>88</v>
      </c>
      <c r="D115" s="29" t="s">
        <v>608</v>
      </c>
      <c r="E115" s="28" t="s">
        <v>609</v>
      </c>
      <c r="F115" s="28" t="s">
        <v>610</v>
      </c>
      <c r="G115" s="30" t="s">
        <v>92</v>
      </c>
      <c r="H115" s="31" t="s">
        <v>12</v>
      </c>
      <c r="I115" s="32" t="n">
        <v>46298</v>
      </c>
      <c r="J115" s="33" t="s">
        <v>177</v>
      </c>
    </row>
    <row r="116" customFormat="false" ht="57" hidden="false" customHeight="true" outlineLevel="0" collapsed="false">
      <c r="A116" s="26" t="s">
        <v>611</v>
      </c>
      <c r="B116" s="39" t="s">
        <v>72</v>
      </c>
      <c r="C116" s="28" t="s">
        <v>612</v>
      </c>
      <c r="D116" s="29" t="s">
        <v>613</v>
      </c>
      <c r="E116" s="28" t="s">
        <v>614</v>
      </c>
      <c r="F116" s="28" t="s">
        <v>615</v>
      </c>
      <c r="G116" s="30" t="s">
        <v>133</v>
      </c>
      <c r="H116" s="31" t="s">
        <v>60</v>
      </c>
      <c r="I116" s="32" t="n">
        <v>46298</v>
      </c>
      <c r="J116" s="33" t="s">
        <v>616</v>
      </c>
    </row>
    <row r="117" customFormat="false" ht="15" hidden="false" customHeight="true" outlineLevel="0" collapsed="false">
      <c r="A117" s="26" t="s">
        <v>617</v>
      </c>
      <c r="B117" s="39" t="s">
        <v>72</v>
      </c>
      <c r="C117" s="28" t="s">
        <v>88</v>
      </c>
      <c r="D117" s="29" t="s">
        <v>618</v>
      </c>
      <c r="E117" s="28" t="s">
        <v>619</v>
      </c>
      <c r="F117" s="28" t="s">
        <v>620</v>
      </c>
      <c r="G117" s="30" t="s">
        <v>92</v>
      </c>
      <c r="H117" s="31" t="s">
        <v>12</v>
      </c>
      <c r="I117" s="32" t="n">
        <v>46299</v>
      </c>
      <c r="J117" s="33" t="s">
        <v>621</v>
      </c>
    </row>
    <row r="118" customFormat="false" ht="23.25" hidden="false" customHeight="true" outlineLevel="0" collapsed="false">
      <c r="A118" s="26" t="s">
        <v>622</v>
      </c>
      <c r="B118" s="27" t="s">
        <v>73</v>
      </c>
      <c r="C118" s="28" t="s">
        <v>88</v>
      </c>
      <c r="D118" s="29" t="s">
        <v>623</v>
      </c>
      <c r="E118" s="28" t="s">
        <v>624</v>
      </c>
      <c r="F118" s="28" t="s">
        <v>625</v>
      </c>
      <c r="G118" s="30" t="s">
        <v>92</v>
      </c>
      <c r="H118" s="31" t="s">
        <v>60</v>
      </c>
      <c r="I118" s="32"/>
      <c r="J118" s="33" t="s">
        <v>626</v>
      </c>
    </row>
    <row r="119" customFormat="false" ht="23.25" hidden="false" customHeight="true" outlineLevel="0" collapsed="false">
      <c r="A119" s="26" t="s">
        <v>627</v>
      </c>
      <c r="B119" s="27" t="s">
        <v>73</v>
      </c>
      <c r="C119" s="28" t="s">
        <v>88</v>
      </c>
      <c r="D119" s="29" t="s">
        <v>628</v>
      </c>
      <c r="E119" s="28" t="s">
        <v>629</v>
      </c>
      <c r="F119" s="28" t="s">
        <v>630</v>
      </c>
      <c r="G119" s="30" t="s">
        <v>133</v>
      </c>
      <c r="H119" s="31" t="s">
        <v>12</v>
      </c>
      <c r="I119" s="32" t="n">
        <v>46298</v>
      </c>
      <c r="J119" s="33" t="s">
        <v>177</v>
      </c>
    </row>
    <row r="120" customFormat="false" ht="23.25" hidden="false" customHeight="true" outlineLevel="0" collapsed="false">
      <c r="A120" s="26" t="s">
        <v>631</v>
      </c>
      <c r="B120" s="27" t="s">
        <v>73</v>
      </c>
      <c r="C120" s="28" t="s">
        <v>88</v>
      </c>
      <c r="D120" s="29" t="s">
        <v>632</v>
      </c>
      <c r="E120" s="28" t="s">
        <v>633</v>
      </c>
      <c r="F120" s="28" t="s">
        <v>634</v>
      </c>
      <c r="G120" s="30" t="s">
        <v>92</v>
      </c>
      <c r="H120" s="31" t="s">
        <v>12</v>
      </c>
      <c r="I120" s="32" t="n">
        <v>46298</v>
      </c>
      <c r="J120" s="33" t="s">
        <v>635</v>
      </c>
    </row>
    <row r="121" customFormat="false" ht="23.25" hidden="false" customHeight="true" outlineLevel="0" collapsed="false">
      <c r="A121" s="26" t="s">
        <v>636</v>
      </c>
      <c r="B121" s="27" t="s">
        <v>73</v>
      </c>
      <c r="C121" s="28" t="s">
        <v>88</v>
      </c>
      <c r="D121" s="29" t="s">
        <v>637</v>
      </c>
      <c r="E121" s="28" t="s">
        <v>638</v>
      </c>
      <c r="F121" s="28" t="s">
        <v>639</v>
      </c>
      <c r="G121" s="30" t="s">
        <v>92</v>
      </c>
      <c r="H121" s="31" t="s">
        <v>60</v>
      </c>
      <c r="I121" s="32"/>
      <c r="J121" s="33" t="s">
        <v>640</v>
      </c>
    </row>
    <row r="122" customFormat="false" ht="15" hidden="false" customHeight="true" outlineLevel="0" collapsed="false">
      <c r="A122" s="26" t="s">
        <v>641</v>
      </c>
      <c r="B122" s="27" t="s">
        <v>73</v>
      </c>
      <c r="C122" s="28" t="s">
        <v>88</v>
      </c>
      <c r="D122" s="29" t="s">
        <v>642</v>
      </c>
      <c r="E122" s="28" t="s">
        <v>643</v>
      </c>
      <c r="F122" s="28" t="s">
        <v>644</v>
      </c>
      <c r="G122" s="30" t="s">
        <v>92</v>
      </c>
      <c r="H122" s="31" t="s">
        <v>12</v>
      </c>
      <c r="I122" s="32" t="n">
        <v>46298</v>
      </c>
      <c r="J122" s="33" t="s">
        <v>177</v>
      </c>
    </row>
    <row r="123" customFormat="false" ht="15" hidden="false" customHeight="true" outlineLevel="0" collapsed="false">
      <c r="A123" s="26" t="s">
        <v>645</v>
      </c>
      <c r="B123" s="27" t="s">
        <v>73</v>
      </c>
      <c r="C123" s="28" t="s">
        <v>88</v>
      </c>
      <c r="D123" s="29" t="s">
        <v>646</v>
      </c>
      <c r="E123" s="28" t="s">
        <v>647</v>
      </c>
      <c r="F123" s="28" t="s">
        <v>648</v>
      </c>
      <c r="G123" s="30" t="s">
        <v>133</v>
      </c>
      <c r="H123" s="31" t="s">
        <v>12</v>
      </c>
      <c r="I123" s="32" t="n">
        <v>46298</v>
      </c>
      <c r="J123" s="33" t="s">
        <v>177</v>
      </c>
    </row>
    <row r="124" customFormat="false" ht="15" hidden="false" customHeight="true" outlineLevel="0" collapsed="false">
      <c r="A124" s="26" t="s">
        <v>649</v>
      </c>
      <c r="B124" s="27" t="s">
        <v>73</v>
      </c>
      <c r="C124" s="28" t="s">
        <v>88</v>
      </c>
      <c r="D124" s="29" t="s">
        <v>650</v>
      </c>
      <c r="E124" s="28" t="s">
        <v>651</v>
      </c>
      <c r="F124" s="28" t="s">
        <v>652</v>
      </c>
      <c r="G124" s="30" t="s">
        <v>144</v>
      </c>
      <c r="H124" s="31" t="s">
        <v>60</v>
      </c>
      <c r="I124" s="32"/>
      <c r="J124" s="33" t="s">
        <v>653</v>
      </c>
    </row>
    <row r="125" customFormat="false" ht="23.25" hidden="false" customHeight="true" outlineLevel="0" collapsed="false">
      <c r="A125" s="26" t="s">
        <v>654</v>
      </c>
      <c r="B125" s="35" t="s">
        <v>74</v>
      </c>
      <c r="C125" s="28" t="s">
        <v>168</v>
      </c>
      <c r="D125" s="29" t="s">
        <v>655</v>
      </c>
      <c r="E125" s="28" t="s">
        <v>656</v>
      </c>
      <c r="F125" s="28" t="s">
        <v>657</v>
      </c>
      <c r="G125" s="30" t="s">
        <v>92</v>
      </c>
      <c r="H125" s="31" t="s">
        <v>61</v>
      </c>
      <c r="I125" s="32"/>
      <c r="J125" s="33"/>
    </row>
    <row r="126" customFormat="false" ht="23.25" hidden="false" customHeight="true" outlineLevel="0" collapsed="false">
      <c r="A126" s="26" t="s">
        <v>658</v>
      </c>
      <c r="B126" s="35" t="s">
        <v>74</v>
      </c>
      <c r="C126" s="28" t="s">
        <v>140</v>
      </c>
      <c r="D126" s="29" t="s">
        <v>659</v>
      </c>
      <c r="E126" s="28" t="s">
        <v>660</v>
      </c>
      <c r="F126" s="28" t="s">
        <v>661</v>
      </c>
      <c r="G126" s="30" t="s">
        <v>133</v>
      </c>
      <c r="H126" s="31" t="s">
        <v>61</v>
      </c>
      <c r="I126" s="32"/>
      <c r="J126" s="33"/>
    </row>
    <row r="127" customFormat="false" ht="15" hidden="false" customHeight="true" outlineLevel="0" collapsed="false">
      <c r="A127" s="26" t="s">
        <v>662</v>
      </c>
      <c r="B127" s="35" t="s">
        <v>74</v>
      </c>
      <c r="C127" s="28" t="s">
        <v>140</v>
      </c>
      <c r="D127" s="29" t="s">
        <v>663</v>
      </c>
      <c r="E127" s="28" t="s">
        <v>664</v>
      </c>
      <c r="F127" s="28" t="s">
        <v>665</v>
      </c>
      <c r="G127" s="30" t="s">
        <v>133</v>
      </c>
      <c r="H127" s="31" t="s">
        <v>61</v>
      </c>
      <c r="I127" s="32"/>
      <c r="J127" s="33" t="s">
        <v>543</v>
      </c>
    </row>
    <row r="128" customFormat="false" ht="23.25" hidden="false" customHeight="true" outlineLevel="0" collapsed="false">
      <c r="A128" s="26" t="s">
        <v>666</v>
      </c>
      <c r="B128" s="35" t="s">
        <v>74</v>
      </c>
      <c r="C128" s="28" t="s">
        <v>140</v>
      </c>
      <c r="D128" s="29" t="s">
        <v>667</v>
      </c>
      <c r="E128" s="28" t="s">
        <v>668</v>
      </c>
      <c r="F128" s="28" t="s">
        <v>669</v>
      </c>
      <c r="G128" s="30" t="s">
        <v>133</v>
      </c>
      <c r="H128" s="31" t="s">
        <v>61</v>
      </c>
      <c r="I128" s="32"/>
      <c r="J128" s="33" t="s">
        <v>543</v>
      </c>
    </row>
    <row r="129" customFormat="false" ht="23.25" hidden="false" customHeight="true" outlineLevel="0" collapsed="false">
      <c r="A129" s="26" t="s">
        <v>670</v>
      </c>
      <c r="B129" s="35" t="s">
        <v>74</v>
      </c>
      <c r="C129" s="28" t="s">
        <v>168</v>
      </c>
      <c r="D129" s="29" t="s">
        <v>671</v>
      </c>
      <c r="E129" s="28" t="s">
        <v>672</v>
      </c>
      <c r="F129" s="28" t="s">
        <v>673</v>
      </c>
      <c r="G129" s="30" t="s">
        <v>133</v>
      </c>
      <c r="H129" s="31" t="s">
        <v>61</v>
      </c>
      <c r="I129" s="32"/>
      <c r="J129" s="33" t="s">
        <v>543</v>
      </c>
    </row>
    <row r="130" customFormat="false" ht="23.25" hidden="false" customHeight="true" outlineLevel="0" collapsed="false">
      <c r="A130" s="26" t="s">
        <v>674</v>
      </c>
      <c r="B130" s="35" t="s">
        <v>74</v>
      </c>
      <c r="C130" s="28" t="s">
        <v>129</v>
      </c>
      <c r="D130" s="29" t="s">
        <v>675</v>
      </c>
      <c r="E130" s="28" t="s">
        <v>676</v>
      </c>
      <c r="F130" s="28" t="s">
        <v>677</v>
      </c>
      <c r="G130" s="30" t="s">
        <v>133</v>
      </c>
      <c r="H130" s="31" t="s">
        <v>61</v>
      </c>
      <c r="I130" s="32"/>
      <c r="J130" s="33" t="s">
        <v>543</v>
      </c>
    </row>
    <row r="131" customFormat="false" ht="23.25" hidden="false" customHeight="true" outlineLevel="0" collapsed="false">
      <c r="A131" s="26" t="s">
        <v>678</v>
      </c>
      <c r="B131" s="35" t="s">
        <v>74</v>
      </c>
      <c r="C131" s="28" t="s">
        <v>168</v>
      </c>
      <c r="D131" s="29" t="s">
        <v>679</v>
      </c>
      <c r="E131" s="28" t="s">
        <v>680</v>
      </c>
      <c r="F131" s="28" t="s">
        <v>681</v>
      </c>
      <c r="G131" s="30" t="s">
        <v>144</v>
      </c>
      <c r="H131" s="31" t="s">
        <v>61</v>
      </c>
      <c r="I131" s="32"/>
      <c r="J131" s="33" t="s">
        <v>543</v>
      </c>
    </row>
    <row r="132" customFormat="false" ht="23.25" hidden="false" customHeight="true" outlineLevel="0" collapsed="false">
      <c r="A132" s="26" t="s">
        <v>682</v>
      </c>
      <c r="B132" s="37" t="s">
        <v>75</v>
      </c>
      <c r="C132" s="28" t="s">
        <v>88</v>
      </c>
      <c r="D132" s="29" t="s">
        <v>683</v>
      </c>
      <c r="E132" s="28" t="s">
        <v>684</v>
      </c>
      <c r="F132" s="28" t="s">
        <v>685</v>
      </c>
      <c r="G132" s="30" t="s">
        <v>92</v>
      </c>
      <c r="H132" s="31" t="s">
        <v>12</v>
      </c>
      <c r="I132" s="32" t="n">
        <v>46299</v>
      </c>
      <c r="J132" s="33" t="s">
        <v>686</v>
      </c>
    </row>
    <row r="133" customFormat="false" ht="23.25" hidden="false" customHeight="true" outlineLevel="0" collapsed="false">
      <c r="A133" s="26" t="s">
        <v>687</v>
      </c>
      <c r="B133" s="37" t="s">
        <v>75</v>
      </c>
      <c r="C133" s="28" t="s">
        <v>88</v>
      </c>
      <c r="D133" s="29" t="s">
        <v>688</v>
      </c>
      <c r="E133" s="28" t="s">
        <v>689</v>
      </c>
      <c r="F133" s="28" t="s">
        <v>690</v>
      </c>
      <c r="G133" s="30" t="s">
        <v>92</v>
      </c>
      <c r="H133" s="31" t="s">
        <v>61</v>
      </c>
      <c r="I133" s="32"/>
      <c r="J133" s="33" t="s">
        <v>691</v>
      </c>
    </row>
    <row r="134" customFormat="false" ht="15" hidden="false" customHeight="true" outlineLevel="0" collapsed="false">
      <c r="A134" s="26" t="s">
        <v>692</v>
      </c>
      <c r="B134" s="37" t="s">
        <v>75</v>
      </c>
      <c r="C134" s="28" t="s">
        <v>88</v>
      </c>
      <c r="D134" s="29" t="s">
        <v>693</v>
      </c>
      <c r="E134" s="28" t="s">
        <v>694</v>
      </c>
      <c r="F134" s="28" t="s">
        <v>695</v>
      </c>
      <c r="G134" s="30" t="s">
        <v>92</v>
      </c>
      <c r="H134" s="31" t="s">
        <v>60</v>
      </c>
      <c r="I134" s="32"/>
      <c r="J134" s="33" t="s">
        <v>696</v>
      </c>
    </row>
    <row r="135" customFormat="false" ht="45.75" hidden="false" customHeight="true" outlineLevel="0" collapsed="false">
      <c r="A135" s="26" t="s">
        <v>697</v>
      </c>
      <c r="B135" s="37" t="s">
        <v>75</v>
      </c>
      <c r="C135" s="28" t="s">
        <v>280</v>
      </c>
      <c r="D135" s="29" t="s">
        <v>698</v>
      </c>
      <c r="E135" s="28" t="s">
        <v>699</v>
      </c>
      <c r="F135" s="28" t="s">
        <v>700</v>
      </c>
      <c r="G135" s="30" t="s">
        <v>92</v>
      </c>
      <c r="H135" s="31" t="s">
        <v>60</v>
      </c>
      <c r="I135" s="32"/>
      <c r="J135" s="33" t="s">
        <v>701</v>
      </c>
    </row>
    <row r="136" customFormat="false" ht="23.25" hidden="false" customHeight="true" outlineLevel="0" collapsed="false">
      <c r="A136" s="26" t="s">
        <v>702</v>
      </c>
      <c r="B136" s="37" t="s">
        <v>75</v>
      </c>
      <c r="C136" s="28" t="s">
        <v>88</v>
      </c>
      <c r="D136" s="29" t="s">
        <v>703</v>
      </c>
      <c r="E136" s="28" t="s">
        <v>704</v>
      </c>
      <c r="F136" s="28" t="s">
        <v>705</v>
      </c>
      <c r="G136" s="30" t="s">
        <v>92</v>
      </c>
      <c r="H136" s="31" t="s">
        <v>60</v>
      </c>
      <c r="I136" s="32"/>
      <c r="J136" s="33" t="s">
        <v>706</v>
      </c>
    </row>
    <row r="137" customFormat="false" ht="15" hidden="false" customHeight="true" outlineLevel="0" collapsed="false">
      <c r="A137" s="26" t="s">
        <v>707</v>
      </c>
      <c r="B137" s="37" t="s">
        <v>75</v>
      </c>
      <c r="C137" s="28" t="s">
        <v>280</v>
      </c>
      <c r="D137" s="29" t="s">
        <v>708</v>
      </c>
      <c r="E137" s="28" t="s">
        <v>709</v>
      </c>
      <c r="F137" s="28" t="s">
        <v>710</v>
      </c>
      <c r="G137" s="30" t="s">
        <v>92</v>
      </c>
      <c r="H137" s="31" t="s">
        <v>60</v>
      </c>
      <c r="I137" s="32"/>
      <c r="J137" s="33" t="s">
        <v>711</v>
      </c>
    </row>
    <row r="138" customFormat="false" ht="15" hidden="false" customHeight="true" outlineLevel="0" collapsed="false">
      <c r="A138" s="26" t="s">
        <v>712</v>
      </c>
      <c r="B138" s="37" t="s">
        <v>75</v>
      </c>
      <c r="C138" s="28" t="s">
        <v>88</v>
      </c>
      <c r="D138" s="29" t="s">
        <v>713</v>
      </c>
      <c r="E138" s="28" t="s">
        <v>714</v>
      </c>
      <c r="F138" s="28" t="s">
        <v>715</v>
      </c>
      <c r="G138" s="30" t="s">
        <v>92</v>
      </c>
      <c r="H138" s="31" t="s">
        <v>60</v>
      </c>
      <c r="I138" s="32"/>
      <c r="J138" s="33" t="s">
        <v>716</v>
      </c>
    </row>
    <row r="139" customFormat="false" ht="23.25" hidden="false" customHeight="true" outlineLevel="0" collapsed="false">
      <c r="A139" s="26" t="s">
        <v>717</v>
      </c>
      <c r="B139" s="37" t="s">
        <v>75</v>
      </c>
      <c r="C139" s="28" t="s">
        <v>88</v>
      </c>
      <c r="D139" s="29" t="s">
        <v>718</v>
      </c>
      <c r="E139" s="28" t="s">
        <v>719</v>
      </c>
      <c r="F139" s="28" t="s">
        <v>720</v>
      </c>
      <c r="G139" s="30" t="s">
        <v>92</v>
      </c>
      <c r="H139" s="31" t="s">
        <v>60</v>
      </c>
      <c r="I139" s="32"/>
      <c r="J139" s="33" t="s">
        <v>716</v>
      </c>
    </row>
    <row r="140" customFormat="false" ht="15" hidden="false" customHeight="true" outlineLevel="0" collapsed="false">
      <c r="A140" s="26" t="s">
        <v>721</v>
      </c>
      <c r="B140" s="37" t="s">
        <v>75</v>
      </c>
      <c r="C140" s="28" t="s">
        <v>140</v>
      </c>
      <c r="D140" s="29" t="s">
        <v>722</v>
      </c>
      <c r="E140" s="28" t="s">
        <v>723</v>
      </c>
      <c r="F140" s="28" t="s">
        <v>724</v>
      </c>
      <c r="G140" s="30" t="s">
        <v>92</v>
      </c>
      <c r="H140" s="31" t="s">
        <v>60</v>
      </c>
      <c r="I140" s="32"/>
      <c r="J140" s="33" t="s">
        <v>725</v>
      </c>
    </row>
    <row r="141" customFormat="false" ht="15" hidden="false" customHeight="true" outlineLevel="0" collapsed="false">
      <c r="A141" s="26" t="s">
        <v>726</v>
      </c>
      <c r="B141" s="37" t="s">
        <v>75</v>
      </c>
      <c r="C141" s="28" t="s">
        <v>727</v>
      </c>
      <c r="D141" s="29" t="s">
        <v>728</v>
      </c>
      <c r="E141" s="28" t="s">
        <v>729</v>
      </c>
      <c r="F141" s="28" t="s">
        <v>730</v>
      </c>
      <c r="G141" s="30" t="s">
        <v>92</v>
      </c>
      <c r="H141" s="31" t="s">
        <v>60</v>
      </c>
      <c r="I141" s="32"/>
      <c r="J141" s="33" t="s">
        <v>731</v>
      </c>
    </row>
    <row r="142" customFormat="false" ht="23.25" hidden="false" customHeight="true" outlineLevel="0" collapsed="false">
      <c r="A142" s="26" t="s">
        <v>732</v>
      </c>
      <c r="B142" s="37" t="s">
        <v>75</v>
      </c>
      <c r="C142" s="28" t="s">
        <v>88</v>
      </c>
      <c r="D142" s="29" t="s">
        <v>733</v>
      </c>
      <c r="E142" s="28" t="s">
        <v>734</v>
      </c>
      <c r="F142" s="28" t="s">
        <v>735</v>
      </c>
      <c r="G142" s="30" t="s">
        <v>133</v>
      </c>
      <c r="H142" s="31" t="s">
        <v>60</v>
      </c>
      <c r="I142" s="32"/>
      <c r="J142" s="33" t="s">
        <v>736</v>
      </c>
    </row>
    <row r="143" customFormat="false" ht="23.25" hidden="false" customHeight="true" outlineLevel="0" collapsed="false">
      <c r="A143" s="26" t="s">
        <v>737</v>
      </c>
      <c r="B143" s="37" t="s">
        <v>75</v>
      </c>
      <c r="C143" s="28" t="s">
        <v>88</v>
      </c>
      <c r="D143" s="29" t="s">
        <v>738</v>
      </c>
      <c r="E143" s="28" t="s">
        <v>739</v>
      </c>
      <c r="F143" s="28" t="s">
        <v>740</v>
      </c>
      <c r="G143" s="30" t="s">
        <v>92</v>
      </c>
      <c r="H143" s="31" t="s">
        <v>60</v>
      </c>
      <c r="I143" s="32"/>
      <c r="J143" s="33" t="s">
        <v>741</v>
      </c>
    </row>
    <row r="144" customFormat="false" ht="57" hidden="false" customHeight="true" outlineLevel="0" collapsed="false">
      <c r="A144" s="26" t="s">
        <v>742</v>
      </c>
      <c r="B144" s="37" t="s">
        <v>75</v>
      </c>
      <c r="C144" s="28" t="s">
        <v>743</v>
      </c>
      <c r="D144" s="29" t="s">
        <v>744</v>
      </c>
      <c r="E144" s="28" t="s">
        <v>745</v>
      </c>
      <c r="F144" s="28" t="s">
        <v>746</v>
      </c>
      <c r="G144" s="30" t="s">
        <v>92</v>
      </c>
      <c r="H144" s="31" t="s">
        <v>61</v>
      </c>
      <c r="I144" s="32"/>
      <c r="J144" s="33" t="s">
        <v>747</v>
      </c>
    </row>
    <row r="145" customFormat="false" ht="45.75" hidden="false" customHeight="true" outlineLevel="0" collapsed="false">
      <c r="A145" s="26" t="s">
        <v>748</v>
      </c>
      <c r="B145" s="37" t="s">
        <v>75</v>
      </c>
      <c r="C145" s="28" t="s">
        <v>140</v>
      </c>
      <c r="D145" s="29" t="s">
        <v>749</v>
      </c>
      <c r="E145" s="28" t="s">
        <v>750</v>
      </c>
      <c r="F145" s="28" t="s">
        <v>751</v>
      </c>
      <c r="G145" s="30" t="s">
        <v>92</v>
      </c>
      <c r="H145" s="31" t="s">
        <v>61</v>
      </c>
      <c r="I145" s="32"/>
      <c r="J145" s="33" t="s">
        <v>752</v>
      </c>
    </row>
    <row r="146" customFormat="false" ht="45.75" hidden="false" customHeight="true" outlineLevel="0" collapsed="false">
      <c r="A146" s="26" t="s">
        <v>753</v>
      </c>
      <c r="B146" s="37" t="s">
        <v>75</v>
      </c>
      <c r="C146" s="28" t="s">
        <v>140</v>
      </c>
      <c r="D146" s="29" t="s">
        <v>754</v>
      </c>
      <c r="E146" s="28" t="s">
        <v>755</v>
      </c>
      <c r="F146" s="28" t="s">
        <v>756</v>
      </c>
      <c r="G146" s="30" t="s">
        <v>133</v>
      </c>
      <c r="H146" s="31" t="s">
        <v>61</v>
      </c>
      <c r="I146" s="32"/>
      <c r="J146" s="33" t="s">
        <v>757</v>
      </c>
    </row>
    <row r="147" customFormat="false" ht="57" hidden="false" customHeight="true" outlineLevel="0" collapsed="false">
      <c r="A147" s="26" t="s">
        <v>758</v>
      </c>
      <c r="B147" s="37" t="s">
        <v>75</v>
      </c>
      <c r="C147" s="28" t="s">
        <v>88</v>
      </c>
      <c r="D147" s="29" t="s">
        <v>759</v>
      </c>
      <c r="E147" s="28" t="s">
        <v>760</v>
      </c>
      <c r="F147" s="28" t="s">
        <v>761</v>
      </c>
      <c r="G147" s="30" t="s">
        <v>133</v>
      </c>
      <c r="H147" s="31" t="s">
        <v>61</v>
      </c>
      <c r="I147" s="32"/>
      <c r="J147" s="33" t="s">
        <v>762</v>
      </c>
    </row>
    <row r="148" customFormat="false" ht="45.75" hidden="false" customHeight="true" outlineLevel="0" collapsed="false"/>
    <row r="149" customFormat="false" ht="23.25" hidden="false" customHeight="true" outlineLevel="0" collapsed="false"/>
    <row r="150" customFormat="false" ht="34.5" hidden="false" customHeight="true" outlineLevel="0" collapsed="false"/>
  </sheetData>
  <autoFilter ref="A1:J147"/>
  <conditionalFormatting sqref="H2:H300">
    <cfRule type="cellIs" priority="2" operator="equal" aboveAverage="0" equalAverage="0" bottom="0" percent="0" rank="0" text="" dxfId="2">
      <formula>"Passed"</formula>
    </cfRule>
    <cfRule type="cellIs" priority="3" operator="equal" aboveAverage="0" equalAverage="0" bottom="0" percent="0" rank="0" text="" dxfId="0">
      <formula>"Failed"</formula>
    </cfRule>
    <cfRule type="cellIs" priority="4" operator="equal" aboveAverage="0" equalAverage="0" bottom="0" percent="0" rank="0" text="" dxfId="1">
      <formula>"Retest"</formula>
    </cfRule>
    <cfRule type="cellIs" priority="5" operator="equal" aboveAverage="0" equalAverage="0" bottom="0" percent="0" rank="0" text="" dxfId="22">
      <formula>"Skipped"</formula>
    </cfRule>
  </conditionalFormatting>
  <conditionalFormatting sqref="G2:G300">
    <cfRule type="cellIs" priority="6" operator="equal" aboveAverage="0" equalAverage="0" bottom="0" percent="0" rank="0" text="" dxfId="23">
      <formula>"High"</formula>
    </cfRule>
  </conditionalFormatting>
  <dataValidations count="3">
    <dataValidation allowBlank="false" error="Chọn: Chưa làm, Đạt, Lỗi, Chờ thử lại hoặc Bỏ qua" errorStyle="stop" errorTitle="Trạng thái" operator="between" showDropDown="false" showErrorMessage="false" showInputMessage="false" sqref="H2:H300" type="list">
      <formula1>"Not started,Passed,Failed,Retest,Skipped"</formula1>
      <formula2>0</formula2>
    </dataValidation>
    <dataValidation allowBlank="false" errorStyle="stop" operator="between" showDropDown="false" showErrorMessage="false" showInputMessage="false" sqref="G2:G300" type="list">
      <formula1>"High,Medium,Low"</formula1>
      <formula2>0</formula2>
    </dataValidation>
    <dataValidation allowBlank="true" error="Nhập ngày dạng dd/mm/yyyy" errorStyle="stop" operator="greaterThan" showDropDown="false" showErrorMessage="false" showInputMessage="false" sqref="I2:I300" type="date">
      <formula1>36526</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2026-10-03T07:00:36Z</dcterms:created>
  <dc:creator>openpyxl</dc:creator>
  <dc:description/>
  <dc:language>en-US</dc:language>
  <cp:lastModifiedBy/>
  <dcterms:modified xsi:type="dcterms:W3CDTF">2026-10-04T08:04:00Z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